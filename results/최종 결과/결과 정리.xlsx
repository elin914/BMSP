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charmProjects\BMSP\results\최종 결과\"/>
    </mc:Choice>
  </mc:AlternateContent>
  <xr:revisionPtr revIDLastSave="0" documentId="13_ncr:1_{5012C289-D6A6-4A1E-B847-99EA0D535ACE}" xr6:coauthVersionLast="47" xr6:coauthVersionMax="47" xr10:uidLastSave="{00000000-0000-0000-0000-000000000000}"/>
  <bookViews>
    <workbookView xWindow="29820" yWindow="2580" windowWidth="21600" windowHeight="11295" activeTab="3" xr2:uid="{65DE08B5-CF2D-425D-A7ED-94B7E4A4858B}"/>
  </bookViews>
  <sheets>
    <sheet name="Sheet5" sheetId="5" r:id="rId1"/>
    <sheet name="Sheet2" sheetId="2" r:id="rId2"/>
    <sheet name="Sheet6" sheetId="6" r:id="rId3"/>
    <sheet name="시간" sheetId="7" r:id="rId4"/>
    <sheet name="Sheet1" sheetId="1" r:id="rId5"/>
    <sheet name="Sheet3" sheetId="3" r:id="rId6"/>
    <sheet name="Sheet4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7" l="1"/>
  <c r="O3" i="7"/>
  <c r="P3" i="7"/>
  <c r="Q3" i="7"/>
  <c r="R3" i="7"/>
  <c r="S3" i="7"/>
  <c r="T3" i="7"/>
  <c r="U3" i="7"/>
  <c r="N4" i="7"/>
  <c r="O4" i="7"/>
  <c r="P4" i="7"/>
  <c r="Q4" i="7"/>
  <c r="R4" i="7"/>
  <c r="S4" i="7"/>
  <c r="T4" i="7"/>
  <c r="U4" i="7"/>
  <c r="N5" i="7"/>
  <c r="O5" i="7"/>
  <c r="P5" i="7"/>
  <c r="Q5" i="7"/>
  <c r="R5" i="7"/>
  <c r="S5" i="7"/>
  <c r="T5" i="7"/>
  <c r="U5" i="7"/>
  <c r="N6" i="7"/>
  <c r="O6" i="7"/>
  <c r="P6" i="7"/>
  <c r="Q6" i="7"/>
  <c r="R6" i="7"/>
  <c r="S6" i="7"/>
  <c r="T6" i="7"/>
  <c r="U6" i="7"/>
  <c r="N7" i="7"/>
  <c r="O7" i="7"/>
  <c r="P7" i="7"/>
  <c r="Q7" i="7"/>
  <c r="R7" i="7"/>
  <c r="S7" i="7"/>
  <c r="T7" i="7"/>
  <c r="U7" i="7"/>
  <c r="N8" i="7"/>
  <c r="O8" i="7"/>
  <c r="P8" i="7"/>
  <c r="Q8" i="7"/>
  <c r="R8" i="7"/>
  <c r="S8" i="7"/>
  <c r="T8" i="7"/>
  <c r="U8" i="7"/>
  <c r="N9" i="7"/>
  <c r="O9" i="7"/>
  <c r="P9" i="7"/>
  <c r="Q9" i="7"/>
  <c r="R9" i="7"/>
  <c r="S9" i="7"/>
  <c r="T9" i="7"/>
  <c r="U9" i="7"/>
  <c r="N10" i="7"/>
  <c r="O10" i="7"/>
  <c r="P10" i="7"/>
  <c r="Q10" i="7"/>
  <c r="R10" i="7"/>
  <c r="S10" i="7"/>
  <c r="T10" i="7"/>
  <c r="U10" i="7"/>
  <c r="N11" i="7"/>
  <c r="O11" i="7"/>
  <c r="P11" i="7"/>
  <c r="Q11" i="7"/>
  <c r="R11" i="7"/>
  <c r="S11" i="7"/>
  <c r="T11" i="7"/>
  <c r="U11" i="7"/>
  <c r="N12" i="7"/>
  <c r="O12" i="7"/>
  <c r="P12" i="7"/>
  <c r="Q12" i="7"/>
  <c r="R12" i="7"/>
  <c r="S12" i="7"/>
  <c r="T12" i="7"/>
  <c r="U12" i="7"/>
  <c r="N13" i="7"/>
  <c r="O13" i="7"/>
  <c r="P13" i="7"/>
  <c r="Q13" i="7"/>
  <c r="R13" i="7"/>
  <c r="S13" i="7"/>
  <c r="T13" i="7"/>
  <c r="U13" i="7"/>
  <c r="N14" i="7"/>
  <c r="O14" i="7"/>
  <c r="P14" i="7"/>
  <c r="Q14" i="7"/>
  <c r="R14" i="7"/>
  <c r="S14" i="7"/>
  <c r="T14" i="7"/>
  <c r="U14" i="7"/>
  <c r="N15" i="7"/>
  <c r="O15" i="7"/>
  <c r="P15" i="7"/>
  <c r="Q15" i="7"/>
  <c r="R15" i="7"/>
  <c r="S15" i="7"/>
  <c r="T15" i="7"/>
  <c r="U15" i="7"/>
  <c r="N16" i="7"/>
  <c r="O16" i="7"/>
  <c r="P16" i="7"/>
  <c r="Q16" i="7"/>
  <c r="R16" i="7"/>
  <c r="S16" i="7"/>
  <c r="T16" i="7"/>
  <c r="U16" i="7"/>
  <c r="N17" i="7"/>
  <c r="O17" i="7"/>
  <c r="P17" i="7"/>
  <c r="Q17" i="7"/>
  <c r="R17" i="7"/>
  <c r="S17" i="7"/>
  <c r="T17" i="7"/>
  <c r="U17" i="7"/>
  <c r="N18" i="7"/>
  <c r="O18" i="7"/>
  <c r="P18" i="7"/>
  <c r="Q18" i="7"/>
  <c r="R18" i="7"/>
  <c r="S18" i="7"/>
  <c r="T18" i="7"/>
  <c r="U18" i="7"/>
  <c r="N19" i="7"/>
  <c r="O19" i="7"/>
  <c r="P19" i="7"/>
  <c r="Q19" i="7"/>
  <c r="R19" i="7"/>
  <c r="S19" i="7"/>
  <c r="T19" i="7"/>
  <c r="U19" i="7"/>
  <c r="N20" i="7"/>
  <c r="O20" i="7"/>
  <c r="P20" i="7"/>
  <c r="Q20" i="7"/>
  <c r="R20" i="7"/>
  <c r="S20" i="7"/>
  <c r="T20" i="7"/>
  <c r="U20" i="7"/>
  <c r="N21" i="7"/>
  <c r="O21" i="7"/>
  <c r="P21" i="7"/>
  <c r="Q21" i="7"/>
  <c r="R21" i="7"/>
  <c r="S21" i="7"/>
  <c r="T21" i="7"/>
  <c r="U21" i="7"/>
  <c r="N22" i="7"/>
  <c r="O22" i="7"/>
  <c r="P22" i="7"/>
  <c r="Q22" i="7"/>
  <c r="R22" i="7"/>
  <c r="S22" i="7"/>
  <c r="T22" i="7"/>
  <c r="U22" i="7"/>
  <c r="N23" i="7"/>
  <c r="O23" i="7"/>
  <c r="P23" i="7"/>
  <c r="Q23" i="7"/>
  <c r="R23" i="7"/>
  <c r="S23" i="7"/>
  <c r="T23" i="7"/>
  <c r="U23" i="7"/>
  <c r="N24" i="7"/>
  <c r="O24" i="7"/>
  <c r="P24" i="7"/>
  <c r="Q24" i="7"/>
  <c r="R24" i="7"/>
  <c r="S24" i="7"/>
  <c r="T24" i="7"/>
  <c r="U24" i="7"/>
  <c r="N25" i="7"/>
  <c r="O25" i="7"/>
  <c r="P25" i="7"/>
  <c r="Q25" i="7"/>
  <c r="R25" i="7"/>
  <c r="S25" i="7"/>
  <c r="T25" i="7"/>
  <c r="U25" i="7"/>
  <c r="N26" i="7"/>
  <c r="O26" i="7"/>
  <c r="P26" i="7"/>
  <c r="Q26" i="7"/>
  <c r="R26" i="7"/>
  <c r="S26" i="7"/>
  <c r="T26" i="7"/>
  <c r="U26" i="7"/>
  <c r="N27" i="7"/>
  <c r="O27" i="7"/>
  <c r="P27" i="7"/>
  <c r="Q27" i="7"/>
  <c r="R27" i="7"/>
  <c r="S27" i="7"/>
  <c r="T27" i="7"/>
  <c r="U27" i="7"/>
  <c r="N28" i="7"/>
  <c r="O28" i="7"/>
  <c r="P28" i="7"/>
  <c r="Q28" i="7"/>
  <c r="R28" i="7"/>
  <c r="S28" i="7"/>
  <c r="T28" i="7"/>
  <c r="U28" i="7"/>
  <c r="N29" i="7"/>
  <c r="O29" i="7"/>
  <c r="P29" i="7"/>
  <c r="Q29" i="7"/>
  <c r="R29" i="7"/>
  <c r="S29" i="7"/>
  <c r="T29" i="7"/>
  <c r="U29" i="7"/>
  <c r="N30" i="7"/>
  <c r="O30" i="7"/>
  <c r="P30" i="7"/>
  <c r="Q30" i="7"/>
  <c r="R30" i="7"/>
  <c r="S30" i="7"/>
  <c r="T30" i="7"/>
  <c r="U30" i="7"/>
  <c r="N31" i="7"/>
  <c r="O31" i="7"/>
  <c r="P31" i="7"/>
  <c r="Q31" i="7"/>
  <c r="R31" i="7"/>
  <c r="S31" i="7"/>
  <c r="T31" i="7"/>
  <c r="U31" i="7"/>
  <c r="N32" i="7"/>
  <c r="O32" i="7"/>
  <c r="P32" i="7"/>
  <c r="Q32" i="7"/>
  <c r="R32" i="7"/>
  <c r="S32" i="7"/>
  <c r="T32" i="7"/>
  <c r="U32" i="7"/>
  <c r="N33" i="7"/>
  <c r="O33" i="7"/>
  <c r="P33" i="7"/>
  <c r="Q33" i="7"/>
  <c r="R33" i="7"/>
  <c r="S33" i="7"/>
  <c r="T33" i="7"/>
  <c r="U33" i="7"/>
  <c r="N34" i="7"/>
  <c r="O34" i="7"/>
  <c r="P34" i="7"/>
  <c r="Q34" i="7"/>
  <c r="R34" i="7"/>
  <c r="S34" i="7"/>
  <c r="T34" i="7"/>
  <c r="U34" i="7"/>
  <c r="N35" i="7"/>
  <c r="O35" i="7"/>
  <c r="P35" i="7"/>
  <c r="Q35" i="7"/>
  <c r="R35" i="7"/>
  <c r="S35" i="7"/>
  <c r="T35" i="7"/>
  <c r="U35" i="7"/>
  <c r="N36" i="7"/>
  <c r="O36" i="7"/>
  <c r="P36" i="7"/>
  <c r="Q36" i="7"/>
  <c r="R36" i="7"/>
  <c r="S36" i="7"/>
  <c r="T36" i="7"/>
  <c r="U36" i="7"/>
  <c r="N37" i="7"/>
  <c r="O37" i="7"/>
  <c r="P37" i="7"/>
  <c r="Q37" i="7"/>
  <c r="R37" i="7"/>
  <c r="S37" i="7"/>
  <c r="T37" i="7"/>
  <c r="U37" i="7"/>
  <c r="O2" i="7"/>
  <c r="P2" i="7"/>
  <c r="Q2" i="7"/>
  <c r="R2" i="7"/>
  <c r="S2" i="7"/>
  <c r="T2" i="7"/>
  <c r="U2" i="7"/>
  <c r="N2" i="7"/>
  <c r="L37" i="7"/>
  <c r="K37" i="7"/>
  <c r="J37" i="7"/>
  <c r="I37" i="7"/>
  <c r="H37" i="7"/>
  <c r="G37" i="7"/>
  <c r="F37" i="7"/>
  <c r="E37" i="7"/>
  <c r="D37" i="7"/>
  <c r="L31" i="7"/>
  <c r="K31" i="7"/>
  <c r="J31" i="7"/>
  <c r="I31" i="7"/>
  <c r="H31" i="7"/>
  <c r="G31" i="7"/>
  <c r="F31" i="7"/>
  <c r="E31" i="7"/>
  <c r="D31" i="7"/>
  <c r="L25" i="7"/>
  <c r="K25" i="7"/>
  <c r="J25" i="7"/>
  <c r="I25" i="7"/>
  <c r="H25" i="7"/>
  <c r="G25" i="7"/>
  <c r="F25" i="7"/>
  <c r="E25" i="7"/>
  <c r="D25" i="7"/>
  <c r="L19" i="7"/>
  <c r="K19" i="7"/>
  <c r="J19" i="7"/>
  <c r="I19" i="7"/>
  <c r="H19" i="7"/>
  <c r="G19" i="7"/>
  <c r="F19" i="7"/>
  <c r="E19" i="7"/>
  <c r="D19" i="7"/>
  <c r="L13" i="7"/>
  <c r="K13" i="7"/>
  <c r="J13" i="7"/>
  <c r="I13" i="7"/>
  <c r="H13" i="7"/>
  <c r="G13" i="7"/>
  <c r="F13" i="7"/>
  <c r="E13" i="7"/>
  <c r="D13" i="7"/>
  <c r="E7" i="7"/>
  <c r="F7" i="7"/>
  <c r="G7" i="7"/>
  <c r="H7" i="7"/>
  <c r="I7" i="7"/>
  <c r="J7" i="7"/>
  <c r="K7" i="7"/>
  <c r="L7" i="7"/>
  <c r="D7" i="7"/>
  <c r="K2" i="1" l="1"/>
  <c r="N2" i="3"/>
  <c r="O2" i="3" s="1"/>
  <c r="N3" i="3"/>
  <c r="O3" i="3"/>
  <c r="P3" i="3"/>
  <c r="Q3" i="3"/>
  <c r="R3" i="3"/>
  <c r="S3" i="3"/>
  <c r="T3" i="3"/>
  <c r="U3" i="3"/>
  <c r="V3" i="3"/>
  <c r="W3" i="3"/>
  <c r="X3" i="3"/>
  <c r="N4" i="3"/>
  <c r="Q4" i="3" s="1"/>
  <c r="N5" i="3"/>
  <c r="O5" i="3"/>
  <c r="P5" i="3"/>
  <c r="Q5" i="3"/>
  <c r="R5" i="3"/>
  <c r="S5" i="3"/>
  <c r="T5" i="3"/>
  <c r="U5" i="3"/>
  <c r="V5" i="3"/>
  <c r="W5" i="3"/>
  <c r="X5" i="3"/>
  <c r="N6" i="3"/>
  <c r="S6" i="3" s="1"/>
  <c r="O6" i="3"/>
  <c r="P6" i="3"/>
  <c r="R6" i="3"/>
  <c r="N7" i="3"/>
  <c r="O7" i="3"/>
  <c r="P7" i="3"/>
  <c r="Q7" i="3"/>
  <c r="R7" i="3"/>
  <c r="S7" i="3"/>
  <c r="T7" i="3"/>
  <c r="U7" i="3"/>
  <c r="V7" i="3"/>
  <c r="W7" i="3"/>
  <c r="X7" i="3"/>
  <c r="N8" i="3"/>
  <c r="U8" i="3" s="1"/>
  <c r="O8" i="3"/>
  <c r="P8" i="3"/>
  <c r="Q8" i="3"/>
  <c r="R8" i="3"/>
  <c r="S8" i="3"/>
  <c r="T8" i="3"/>
  <c r="N9" i="3"/>
  <c r="O9" i="3"/>
  <c r="P9" i="3"/>
  <c r="Q9" i="3"/>
  <c r="R9" i="3"/>
  <c r="S9" i="3"/>
  <c r="T9" i="3"/>
  <c r="U9" i="3"/>
  <c r="V9" i="3"/>
  <c r="W9" i="3"/>
  <c r="X9" i="3"/>
  <c r="N10" i="3"/>
  <c r="W10" i="3" s="1"/>
  <c r="O10" i="3"/>
  <c r="P10" i="3"/>
  <c r="Q10" i="3"/>
  <c r="R10" i="3"/>
  <c r="S10" i="3"/>
  <c r="T10" i="3"/>
  <c r="U10" i="3"/>
  <c r="V10" i="3"/>
  <c r="N11" i="3"/>
  <c r="O11" i="3"/>
  <c r="P11" i="3"/>
  <c r="Q11" i="3"/>
  <c r="R11" i="3"/>
  <c r="S11" i="3"/>
  <c r="T11" i="3"/>
  <c r="U11" i="3"/>
  <c r="V11" i="3"/>
  <c r="W11" i="3"/>
  <c r="X11" i="3"/>
  <c r="N12" i="3"/>
  <c r="O12" i="3"/>
  <c r="P12" i="3"/>
  <c r="Q12" i="3"/>
  <c r="R12" i="3"/>
  <c r="S12" i="3"/>
  <c r="T12" i="3"/>
  <c r="U12" i="3"/>
  <c r="V12" i="3"/>
  <c r="W12" i="3"/>
  <c r="X12" i="3"/>
  <c r="N13" i="3"/>
  <c r="O13" i="3" s="1"/>
  <c r="N14" i="3"/>
  <c r="O14" i="3"/>
  <c r="P14" i="3"/>
  <c r="Q14" i="3"/>
  <c r="R14" i="3"/>
  <c r="S14" i="3"/>
  <c r="T14" i="3"/>
  <c r="U14" i="3"/>
  <c r="V14" i="3"/>
  <c r="W14" i="3"/>
  <c r="X14" i="3"/>
  <c r="N15" i="3"/>
  <c r="P15" i="3" s="1"/>
  <c r="O15" i="3"/>
  <c r="N16" i="3"/>
  <c r="O16" i="3"/>
  <c r="P16" i="3"/>
  <c r="Q16" i="3"/>
  <c r="R16" i="3"/>
  <c r="S16" i="3"/>
  <c r="T16" i="3"/>
  <c r="U16" i="3"/>
  <c r="V16" i="3"/>
  <c r="W16" i="3"/>
  <c r="X16" i="3"/>
  <c r="N17" i="3"/>
  <c r="R17" i="3" s="1"/>
  <c r="O17" i="3"/>
  <c r="N18" i="3"/>
  <c r="O18" i="3"/>
  <c r="P18" i="3"/>
  <c r="Q18" i="3"/>
  <c r="R18" i="3"/>
  <c r="S18" i="3"/>
  <c r="T18" i="3"/>
  <c r="U18" i="3"/>
  <c r="V18" i="3"/>
  <c r="W18" i="3"/>
  <c r="X18" i="3"/>
  <c r="N19" i="3"/>
  <c r="T19" i="3" s="1"/>
  <c r="O19" i="3"/>
  <c r="P19" i="3"/>
  <c r="Q19" i="3"/>
  <c r="R19" i="3"/>
  <c r="S19" i="3"/>
  <c r="N20" i="3"/>
  <c r="O20" i="3"/>
  <c r="P20" i="3"/>
  <c r="Q20" i="3"/>
  <c r="R20" i="3"/>
  <c r="S20" i="3"/>
  <c r="T20" i="3"/>
  <c r="U20" i="3"/>
  <c r="V20" i="3"/>
  <c r="W20" i="3"/>
  <c r="X20" i="3"/>
  <c r="N21" i="3"/>
  <c r="V21" i="3" s="1"/>
  <c r="O21" i="3"/>
  <c r="P21" i="3"/>
  <c r="Q21" i="3"/>
  <c r="R21" i="3"/>
  <c r="S21" i="3"/>
  <c r="T21" i="3"/>
  <c r="U21" i="3"/>
  <c r="N22" i="3"/>
  <c r="O22" i="3"/>
  <c r="P22" i="3"/>
  <c r="Q22" i="3"/>
  <c r="R22" i="3"/>
  <c r="S22" i="3"/>
  <c r="T22" i="3"/>
  <c r="U22" i="3"/>
  <c r="V22" i="3"/>
  <c r="W22" i="3"/>
  <c r="X22" i="3"/>
  <c r="N23" i="3"/>
  <c r="O23" i="3"/>
  <c r="P23" i="3"/>
  <c r="Q23" i="3"/>
  <c r="R23" i="3"/>
  <c r="S23" i="3"/>
  <c r="T23" i="3"/>
  <c r="U23" i="3"/>
  <c r="V23" i="3"/>
  <c r="W23" i="3"/>
  <c r="X23" i="3"/>
  <c r="N24" i="3"/>
  <c r="O24" i="3"/>
  <c r="P24" i="3"/>
  <c r="Q24" i="3"/>
  <c r="R24" i="3"/>
  <c r="S24" i="3"/>
  <c r="T24" i="3"/>
  <c r="U24" i="3"/>
  <c r="V24" i="3"/>
  <c r="W24" i="3"/>
  <c r="X24" i="3"/>
  <c r="N25" i="3"/>
  <c r="O25" i="3"/>
  <c r="P25" i="3"/>
  <c r="Q25" i="3"/>
  <c r="R25" i="3"/>
  <c r="S25" i="3"/>
  <c r="T25" i="3"/>
  <c r="U25" i="3"/>
  <c r="V25" i="3"/>
  <c r="W25" i="3"/>
  <c r="X25" i="3"/>
  <c r="N26" i="3"/>
  <c r="O26" i="3" s="1"/>
  <c r="N27" i="3"/>
  <c r="O27" i="3"/>
  <c r="P27" i="3"/>
  <c r="Q27" i="3"/>
  <c r="R27" i="3"/>
  <c r="S27" i="3"/>
  <c r="T27" i="3"/>
  <c r="U27" i="3"/>
  <c r="V27" i="3"/>
  <c r="W27" i="3"/>
  <c r="X27" i="3"/>
  <c r="N28" i="3"/>
  <c r="Q28" i="3" s="1"/>
  <c r="N29" i="3"/>
  <c r="O29" i="3"/>
  <c r="P29" i="3"/>
  <c r="Q29" i="3"/>
  <c r="R29" i="3"/>
  <c r="S29" i="3"/>
  <c r="T29" i="3"/>
  <c r="U29" i="3"/>
  <c r="V29" i="3"/>
  <c r="W29" i="3"/>
  <c r="X29" i="3"/>
  <c r="N30" i="3"/>
  <c r="S30" i="3" s="1"/>
  <c r="O30" i="3"/>
  <c r="P30" i="3"/>
  <c r="R30" i="3"/>
  <c r="N31" i="3"/>
  <c r="O31" i="3"/>
  <c r="P31" i="3"/>
  <c r="Q31" i="3"/>
  <c r="R31" i="3"/>
  <c r="S31" i="3"/>
  <c r="T31" i="3"/>
  <c r="U31" i="3"/>
  <c r="V31" i="3"/>
  <c r="W31" i="3"/>
  <c r="X31" i="3"/>
  <c r="J152" i="2"/>
  <c r="K152" i="2"/>
  <c r="J153" i="2"/>
  <c r="K153" i="2"/>
  <c r="J154" i="2"/>
  <c r="K154" i="2"/>
  <c r="J155" i="2"/>
  <c r="K155" i="2"/>
  <c r="J156" i="2"/>
  <c r="K156" i="2"/>
  <c r="J157" i="2"/>
  <c r="K157" i="2"/>
  <c r="J158" i="2"/>
  <c r="K158" i="2"/>
  <c r="J159" i="2"/>
  <c r="K159" i="2"/>
  <c r="J160" i="2"/>
  <c r="K160" i="2"/>
  <c r="J161" i="2"/>
  <c r="K161" i="2"/>
  <c r="J162" i="2"/>
  <c r="K162" i="2"/>
  <c r="J163" i="2"/>
  <c r="K163" i="2"/>
  <c r="J164" i="2"/>
  <c r="K164" i="2"/>
  <c r="J165" i="2"/>
  <c r="K165" i="2"/>
  <c r="J166" i="2"/>
  <c r="K166" i="2"/>
  <c r="J167" i="2"/>
  <c r="K167" i="2"/>
  <c r="J168" i="2"/>
  <c r="K168" i="2"/>
  <c r="J169" i="2"/>
  <c r="K169" i="2"/>
  <c r="J170" i="2"/>
  <c r="K170" i="2"/>
  <c r="J171" i="2"/>
  <c r="K171" i="2"/>
  <c r="J172" i="2"/>
  <c r="K172" i="2"/>
  <c r="J173" i="2"/>
  <c r="K173" i="2"/>
  <c r="J174" i="2"/>
  <c r="K174" i="2"/>
  <c r="J175" i="2"/>
  <c r="K175" i="2"/>
  <c r="J176" i="2"/>
  <c r="K176" i="2"/>
  <c r="J177" i="2"/>
  <c r="K177" i="2"/>
  <c r="J178" i="2"/>
  <c r="K178" i="2"/>
  <c r="J179" i="2"/>
  <c r="K179" i="2"/>
  <c r="J180" i="2"/>
  <c r="K180" i="2"/>
  <c r="J181" i="2"/>
  <c r="K181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52" i="2"/>
  <c r="J122" i="2"/>
  <c r="K122" i="2"/>
  <c r="J123" i="2"/>
  <c r="K123" i="2"/>
  <c r="J124" i="2"/>
  <c r="K124" i="2"/>
  <c r="J125" i="2"/>
  <c r="K125" i="2"/>
  <c r="J126" i="2"/>
  <c r="K126" i="2"/>
  <c r="J127" i="2"/>
  <c r="K127" i="2"/>
  <c r="J128" i="2"/>
  <c r="K128" i="2"/>
  <c r="J129" i="2"/>
  <c r="K129" i="2"/>
  <c r="J130" i="2"/>
  <c r="K130" i="2"/>
  <c r="J131" i="2"/>
  <c r="K131" i="2"/>
  <c r="J132" i="2"/>
  <c r="K132" i="2"/>
  <c r="J133" i="2"/>
  <c r="K133" i="2"/>
  <c r="J134" i="2"/>
  <c r="K134" i="2"/>
  <c r="J135" i="2"/>
  <c r="K135" i="2"/>
  <c r="J136" i="2"/>
  <c r="K136" i="2"/>
  <c r="J137" i="2"/>
  <c r="K137" i="2"/>
  <c r="J138" i="2"/>
  <c r="K138" i="2"/>
  <c r="J139" i="2"/>
  <c r="K139" i="2"/>
  <c r="J140" i="2"/>
  <c r="K140" i="2"/>
  <c r="J141" i="2"/>
  <c r="K141" i="2"/>
  <c r="J142" i="2"/>
  <c r="K142" i="2"/>
  <c r="J143" i="2"/>
  <c r="K143" i="2"/>
  <c r="J144" i="2"/>
  <c r="K144" i="2"/>
  <c r="J145" i="2"/>
  <c r="K145" i="2"/>
  <c r="J146" i="2"/>
  <c r="K146" i="2"/>
  <c r="J147" i="2"/>
  <c r="K147" i="2"/>
  <c r="J148" i="2"/>
  <c r="K148" i="2"/>
  <c r="J149" i="2"/>
  <c r="K149" i="2"/>
  <c r="J150" i="2"/>
  <c r="K150" i="2"/>
  <c r="J151" i="2"/>
  <c r="K151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22" i="2"/>
  <c r="J92" i="2"/>
  <c r="K92" i="2"/>
  <c r="J93" i="2"/>
  <c r="K93" i="2"/>
  <c r="J94" i="2"/>
  <c r="K94" i="2"/>
  <c r="J95" i="2"/>
  <c r="K95" i="2"/>
  <c r="J96" i="2"/>
  <c r="K96" i="2"/>
  <c r="J97" i="2"/>
  <c r="K97" i="2"/>
  <c r="J98" i="2"/>
  <c r="K98" i="2"/>
  <c r="J99" i="2"/>
  <c r="K99" i="2"/>
  <c r="J100" i="2"/>
  <c r="K100" i="2"/>
  <c r="J101" i="2"/>
  <c r="K101" i="2"/>
  <c r="J102" i="2"/>
  <c r="K102" i="2"/>
  <c r="J103" i="2"/>
  <c r="K103" i="2"/>
  <c r="J104" i="2"/>
  <c r="K104" i="2"/>
  <c r="J105" i="2"/>
  <c r="K105" i="2"/>
  <c r="J106" i="2"/>
  <c r="K106" i="2"/>
  <c r="J107" i="2"/>
  <c r="K107" i="2"/>
  <c r="J108" i="2"/>
  <c r="K108" i="2"/>
  <c r="J109" i="2"/>
  <c r="K109" i="2"/>
  <c r="J110" i="2"/>
  <c r="K110" i="2"/>
  <c r="J111" i="2"/>
  <c r="K111" i="2"/>
  <c r="J112" i="2"/>
  <c r="K112" i="2"/>
  <c r="J113" i="2"/>
  <c r="K113" i="2"/>
  <c r="J114" i="2"/>
  <c r="K114" i="2"/>
  <c r="J115" i="2"/>
  <c r="K115" i="2"/>
  <c r="J116" i="2"/>
  <c r="K116" i="2"/>
  <c r="J117" i="2"/>
  <c r="K117" i="2"/>
  <c r="J118" i="2"/>
  <c r="K118" i="2"/>
  <c r="J119" i="2"/>
  <c r="K119" i="2"/>
  <c r="J120" i="2"/>
  <c r="K120" i="2"/>
  <c r="J121" i="2"/>
  <c r="K121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92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62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32" i="2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J2" i="2"/>
  <c r="K2" i="2"/>
  <c r="I2" i="2"/>
  <c r="I3" i="1"/>
  <c r="J3" i="1" s="1"/>
  <c r="L3" i="1"/>
  <c r="M3" i="1"/>
  <c r="I4" i="1"/>
  <c r="J4" i="1"/>
  <c r="K4" i="1"/>
  <c r="L4" i="1"/>
  <c r="M4" i="1"/>
  <c r="I5" i="1"/>
  <c r="J5" i="1"/>
  <c r="K5" i="1"/>
  <c r="L5" i="1"/>
  <c r="M5" i="1"/>
  <c r="I6" i="1"/>
  <c r="J6" i="1"/>
  <c r="K6" i="1"/>
  <c r="L6" i="1"/>
  <c r="M6" i="1"/>
  <c r="I7" i="1"/>
  <c r="M7" i="1" s="1"/>
  <c r="J7" i="1"/>
  <c r="K7" i="1"/>
  <c r="I8" i="1"/>
  <c r="J8" i="1" s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L12" i="1" s="1"/>
  <c r="J12" i="1"/>
  <c r="I13" i="1"/>
  <c r="J13" i="1"/>
  <c r="K13" i="1"/>
  <c r="L13" i="1"/>
  <c r="M13" i="1"/>
  <c r="I14" i="1"/>
  <c r="K14" i="1" s="1"/>
  <c r="J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K17" i="1" s="1"/>
  <c r="I18" i="1"/>
  <c r="J18" i="1" s="1"/>
  <c r="M18" i="1"/>
  <c r="I19" i="1"/>
  <c r="J19" i="1" s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J22" i="1" s="1"/>
  <c r="I23" i="1"/>
  <c r="J23" i="1" s="1"/>
  <c r="L23" i="1"/>
  <c r="M23" i="1"/>
  <c r="I24" i="1"/>
  <c r="J24" i="1"/>
  <c r="K24" i="1"/>
  <c r="L24" i="1"/>
  <c r="M24" i="1"/>
  <c r="I25" i="1"/>
  <c r="J25" i="1"/>
  <c r="K25" i="1"/>
  <c r="L25" i="1"/>
  <c r="M25" i="1"/>
  <c r="I26" i="1"/>
  <c r="M26" i="1" s="1"/>
  <c r="J26" i="1"/>
  <c r="K26" i="1"/>
  <c r="L26" i="1"/>
  <c r="I27" i="1"/>
  <c r="J27" i="1" s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I30" i="1"/>
  <c r="J30" i="1"/>
  <c r="K30" i="1"/>
  <c r="L30" i="1"/>
  <c r="M30" i="1"/>
  <c r="I31" i="1"/>
  <c r="M31" i="1" s="1"/>
  <c r="J31" i="1"/>
  <c r="K31" i="1"/>
  <c r="L2" i="1"/>
  <c r="M2" i="1"/>
  <c r="J2" i="1"/>
  <c r="I2" i="1"/>
  <c r="H92" i="2"/>
  <c r="H152" i="2"/>
  <c r="H122" i="2"/>
  <c r="H62" i="2"/>
  <c r="H32" i="2"/>
  <c r="H2" i="2"/>
  <c r="L12" i="6"/>
  <c r="L277" i="6"/>
  <c r="L255" i="6"/>
  <c r="L177" i="6"/>
  <c r="L185" i="6"/>
  <c r="L96" i="6"/>
  <c r="L295" i="6"/>
  <c r="L287" i="6"/>
  <c r="L284" i="6"/>
  <c r="L263" i="6"/>
  <c r="L31" i="6"/>
  <c r="L34" i="6"/>
  <c r="L30" i="6"/>
  <c r="G255" i="4"/>
  <c r="G279" i="4"/>
  <c r="L301" i="6"/>
  <c r="L279" i="6"/>
  <c r="L249" i="6"/>
  <c r="L209" i="6"/>
  <c r="L144" i="6"/>
  <c r="L80" i="6"/>
  <c r="L72" i="6"/>
  <c r="L21" i="6"/>
  <c r="L48" i="6"/>
  <c r="L175" i="6"/>
  <c r="L58" i="6"/>
  <c r="L151" i="6"/>
  <c r="G256" i="4"/>
  <c r="G280" i="4"/>
  <c r="L14" i="6"/>
  <c r="L73" i="6"/>
  <c r="L104" i="6"/>
  <c r="L233" i="6"/>
  <c r="L192" i="6"/>
  <c r="L152" i="6"/>
  <c r="L288" i="6"/>
  <c r="L45" i="6"/>
  <c r="L120" i="6"/>
  <c r="L271" i="6"/>
  <c r="L82" i="6"/>
  <c r="L3" i="6"/>
  <c r="G257" i="4"/>
  <c r="G281" i="4"/>
  <c r="L38" i="6"/>
  <c r="L265" i="6"/>
  <c r="L272" i="6"/>
  <c r="L257" i="6"/>
  <c r="L264" i="6"/>
  <c r="L200" i="6"/>
  <c r="L169" i="6"/>
  <c r="L69" i="6"/>
  <c r="L168" i="6"/>
  <c r="L167" i="6"/>
  <c r="L106" i="6"/>
  <c r="L7" i="6"/>
  <c r="G258" i="4"/>
  <c r="G282" i="4"/>
  <c r="L62" i="6"/>
  <c r="L98" i="6"/>
  <c r="L57" i="6"/>
  <c r="L281" i="6"/>
  <c r="L49" i="6"/>
  <c r="L33" i="6"/>
  <c r="L122" i="6"/>
  <c r="L93" i="6"/>
  <c r="L216" i="6"/>
  <c r="L97" i="6"/>
  <c r="L130" i="6"/>
  <c r="L9" i="6"/>
  <c r="G259" i="4"/>
  <c r="G283" i="4"/>
  <c r="L86" i="6"/>
  <c r="L218" i="6"/>
  <c r="L16" i="6"/>
  <c r="L19" i="6"/>
  <c r="L121" i="6"/>
  <c r="L153" i="6"/>
  <c r="L123" i="6"/>
  <c r="L117" i="6"/>
  <c r="L240" i="6"/>
  <c r="L74" i="6"/>
  <c r="L154" i="6"/>
  <c r="L11" i="6"/>
  <c r="G260" i="4"/>
  <c r="G284" i="4"/>
  <c r="L110" i="6"/>
  <c r="L290" i="6"/>
  <c r="L40" i="6"/>
  <c r="L67" i="6"/>
  <c r="L193" i="6"/>
  <c r="L225" i="6"/>
  <c r="L124" i="6"/>
  <c r="L141" i="6"/>
  <c r="L25" i="6"/>
  <c r="L194" i="6"/>
  <c r="L4" i="6"/>
  <c r="L99" i="6"/>
  <c r="L91" i="6"/>
  <c r="L297" i="6"/>
  <c r="L145" i="6"/>
  <c r="L8" i="6"/>
  <c r="L158" i="6"/>
  <c r="L115" i="6"/>
  <c r="L18" i="6"/>
  <c r="L217" i="6"/>
  <c r="L10" i="6"/>
  <c r="L182" i="6"/>
  <c r="L139" i="6"/>
  <c r="L213" i="6"/>
  <c r="L291" i="6"/>
  <c r="G288" i="4"/>
  <c r="L163" i="6"/>
  <c r="L237" i="6"/>
  <c r="L6" i="6"/>
  <c r="L196" i="6"/>
  <c r="L129" i="6"/>
  <c r="L170" i="6"/>
  <c r="L2" i="6"/>
  <c r="L184" i="6"/>
  <c r="L285" i="6"/>
  <c r="G243" i="4"/>
  <c r="L36" i="6"/>
  <c r="L60" i="6"/>
  <c r="L42" i="6"/>
  <c r="L76" i="6"/>
  <c r="L66" i="6"/>
  <c r="L274" i="6"/>
  <c r="L160" i="6"/>
  <c r="L90" i="6"/>
  <c r="L261" i="6"/>
  <c r="L298" i="6"/>
  <c r="L292" i="6"/>
  <c r="L248" i="6"/>
  <c r="L77" i="6"/>
  <c r="L84" i="6"/>
  <c r="L146" i="6"/>
  <c r="G264" i="4"/>
  <c r="L230" i="6"/>
  <c r="G290" i="4"/>
  <c r="L114" i="6"/>
  <c r="G267" i="4"/>
  <c r="L108" i="6"/>
  <c r="L132" i="6"/>
  <c r="L156" i="6"/>
  <c r="L180" i="6"/>
  <c r="L204" i="6"/>
  <c r="L228" i="6"/>
  <c r="L252" i="6"/>
  <c r="L276" i="6"/>
  <c r="L300" i="6"/>
  <c r="L13" i="6"/>
  <c r="L278" i="6"/>
  <c r="L101" i="6"/>
  <c r="L208" i="6"/>
  <c r="L259" i="6"/>
  <c r="L28" i="6"/>
  <c r="L138" i="6"/>
  <c r="L20" i="6"/>
  <c r="L22" i="6"/>
  <c r="L51" i="6"/>
  <c r="L221" i="6"/>
  <c r="L59" i="6"/>
  <c r="G244" i="4"/>
  <c r="G268" i="4"/>
  <c r="G292" i="4"/>
  <c r="G269" i="4"/>
  <c r="L39" i="6"/>
  <c r="L256" i="6"/>
  <c r="L46" i="6"/>
  <c r="L186" i="6"/>
  <c r="L118" i="6"/>
  <c r="L198" i="6"/>
  <c r="G246" i="4"/>
  <c r="G294" i="4"/>
  <c r="L126" i="6"/>
  <c r="L280" i="6"/>
  <c r="L29" i="6"/>
  <c r="L210" i="6"/>
  <c r="L142" i="6"/>
  <c r="L79" i="6"/>
  <c r="G247" i="4"/>
  <c r="G295" i="4"/>
  <c r="L222" i="6"/>
  <c r="L238" i="6"/>
  <c r="L234" i="6"/>
  <c r="L116" i="6"/>
  <c r="L172" i="6"/>
  <c r="L155" i="6"/>
  <c r="G272" i="4"/>
  <c r="L111" i="6"/>
  <c r="L41" i="6"/>
  <c r="L245" i="6"/>
  <c r="L140" i="6"/>
  <c r="L268" i="6"/>
  <c r="L179" i="6"/>
  <c r="G273" i="4"/>
  <c r="L135" i="6"/>
  <c r="L65" i="6"/>
  <c r="L78" i="6"/>
  <c r="L164" i="6"/>
  <c r="L53" i="6"/>
  <c r="L203" i="6"/>
  <c r="G274" i="4"/>
  <c r="L159" i="6"/>
  <c r="L119" i="6"/>
  <c r="L43" i="6"/>
  <c r="L23" i="6"/>
  <c r="L296" i="6"/>
  <c r="G251" i="4"/>
  <c r="G299" i="4"/>
  <c r="L32" i="6"/>
  <c r="L191" i="6"/>
  <c r="L211" i="6"/>
  <c r="L95" i="6"/>
  <c r="L81" i="6"/>
  <c r="G252" i="4"/>
  <c r="G300" i="4"/>
  <c r="L224" i="6"/>
  <c r="L239" i="6"/>
  <c r="L94" i="6"/>
  <c r="L143" i="6"/>
  <c r="L201" i="6"/>
  <c r="G253" i="4"/>
  <c r="G301" i="4"/>
  <c r="L105" i="6"/>
  <c r="L199" i="6"/>
  <c r="L260" i="6"/>
  <c r="L246" i="6"/>
  <c r="L299" i="6"/>
  <c r="G278" i="4"/>
  <c r="G261" i="4"/>
  <c r="L134" i="6"/>
  <c r="L241" i="6"/>
  <c r="L165" i="6"/>
  <c r="L202" i="6"/>
  <c r="G286" i="4"/>
  <c r="L88" i="6"/>
  <c r="L189" i="6"/>
  <c r="L226" i="6"/>
  <c r="G287" i="4"/>
  <c r="L112" i="6"/>
  <c r="L289" i="6"/>
  <c r="L5" i="6"/>
  <c r="L136" i="6"/>
  <c r="L128" i="6"/>
  <c r="L100" i="6"/>
  <c r="G265" i="4"/>
  <c r="L187" i="6"/>
  <c r="G266" i="4"/>
  <c r="L235" i="6"/>
  <c r="L35" i="6"/>
  <c r="L37" i="6"/>
  <c r="L15" i="6"/>
  <c r="L197" i="6"/>
  <c r="L232" i="6"/>
  <c r="L283" i="6"/>
  <c r="L148" i="6"/>
  <c r="L162" i="6"/>
  <c r="L44" i="6"/>
  <c r="L70" i="6"/>
  <c r="L147" i="6"/>
  <c r="L54" i="6"/>
  <c r="L83" i="6"/>
  <c r="G245" i="4"/>
  <c r="G293" i="4"/>
  <c r="L269" i="6"/>
  <c r="L244" i="6"/>
  <c r="L68" i="6"/>
  <c r="L243" i="6"/>
  <c r="L107" i="6"/>
  <c r="G270" i="4"/>
  <c r="L63" i="6"/>
  <c r="L190" i="6"/>
  <c r="L92" i="6"/>
  <c r="L52" i="6"/>
  <c r="L131" i="6"/>
  <c r="G271" i="4"/>
  <c r="L87" i="6"/>
  <c r="L17" i="6"/>
  <c r="L149" i="6"/>
  <c r="L166" i="6"/>
  <c r="L223" i="6"/>
  <c r="G248" i="4"/>
  <c r="G296" i="4"/>
  <c r="L294" i="6"/>
  <c r="L286" i="6"/>
  <c r="L258" i="6"/>
  <c r="L214" i="6"/>
  <c r="L56" i="6"/>
  <c r="G249" i="4"/>
  <c r="G297" i="4"/>
  <c r="L103" i="6"/>
  <c r="L47" i="6"/>
  <c r="L282" i="6"/>
  <c r="L262" i="6"/>
  <c r="L176" i="6"/>
  <c r="G250" i="4"/>
  <c r="G298" i="4"/>
  <c r="L247" i="6"/>
  <c r="L89" i="6"/>
  <c r="L174" i="6"/>
  <c r="L188" i="6"/>
  <c r="L173" i="6"/>
  <c r="L227" i="6"/>
  <c r="G275" i="4"/>
  <c r="L183" i="6"/>
  <c r="L113" i="6"/>
  <c r="L270" i="6"/>
  <c r="L212" i="6"/>
  <c r="L293" i="6"/>
  <c r="L251" i="6"/>
  <c r="G276" i="4"/>
  <c r="L207" i="6"/>
  <c r="L137" i="6"/>
  <c r="L55" i="6"/>
  <c r="L236" i="6"/>
  <c r="L102" i="6"/>
  <c r="L275" i="6"/>
  <c r="G277" i="4"/>
  <c r="L231" i="6"/>
  <c r="L161" i="6"/>
  <c r="L24" i="6"/>
  <c r="L71" i="6"/>
  <c r="L215" i="6"/>
  <c r="L273" i="6"/>
  <c r="G254" i="4"/>
  <c r="L178" i="6"/>
  <c r="G285" i="4"/>
  <c r="L64" i="6"/>
  <c r="L125" i="6"/>
  <c r="L75" i="6"/>
  <c r="G262" i="4"/>
  <c r="L171" i="6"/>
  <c r="L26" i="6"/>
  <c r="L150" i="6"/>
  <c r="L219" i="6"/>
  <c r="G263" i="4"/>
  <c r="L267" i="6"/>
  <c r="L127" i="6"/>
  <c r="L250" i="6"/>
  <c r="L206" i="6"/>
  <c r="L242" i="6"/>
  <c r="L50" i="6"/>
  <c r="G289" i="4"/>
  <c r="L27" i="6"/>
  <c r="L220" i="6"/>
  <c r="L254" i="6"/>
  <c r="L195" i="6"/>
  <c r="L266" i="6"/>
  <c r="G291" i="4"/>
  <c r="L61" i="6"/>
  <c r="L85" i="6"/>
  <c r="L109" i="6"/>
  <c r="L133" i="6"/>
  <c r="L157" i="6"/>
  <c r="L181" i="6"/>
  <c r="L205" i="6"/>
  <c r="L229" i="6"/>
  <c r="L253" i="6"/>
  <c r="G200" i="4"/>
  <c r="G47" i="4"/>
  <c r="G182" i="4"/>
  <c r="G118" i="4"/>
  <c r="G58" i="4"/>
  <c r="G73" i="4"/>
  <c r="G175" i="4"/>
  <c r="G170" i="4"/>
  <c r="G89" i="4"/>
  <c r="G103" i="4"/>
  <c r="G142" i="4"/>
  <c r="G224" i="4"/>
  <c r="G71" i="4"/>
  <c r="G19" i="4"/>
  <c r="G187" i="4"/>
  <c r="G232" i="4"/>
  <c r="G93" i="4"/>
  <c r="G235" i="4"/>
  <c r="G190" i="4"/>
  <c r="G231" i="4"/>
  <c r="G76" i="4"/>
  <c r="G13" i="4"/>
  <c r="G119" i="4"/>
  <c r="G24" i="4"/>
  <c r="G226" i="4"/>
  <c r="G106" i="4"/>
  <c r="G113" i="4"/>
  <c r="G26" i="4"/>
  <c r="G77" i="4"/>
  <c r="G21" i="4"/>
  <c r="G147" i="4"/>
  <c r="G229" i="4"/>
  <c r="G105" i="4"/>
  <c r="G206" i="4"/>
  <c r="G44" i="4"/>
  <c r="G140" i="4"/>
  <c r="G10" i="4"/>
  <c r="G183" i="4"/>
  <c r="G230" i="4"/>
  <c r="G178" i="4"/>
  <c r="G80" i="4"/>
  <c r="G23" i="4"/>
  <c r="G91" i="4"/>
  <c r="G22" i="4"/>
  <c r="G65" i="4"/>
  <c r="G189" i="4"/>
  <c r="G150" i="4"/>
  <c r="G124" i="4"/>
  <c r="G143" i="4"/>
  <c r="G111" i="4"/>
  <c r="G154" i="4"/>
  <c r="G46" i="4"/>
  <c r="G198" i="4"/>
  <c r="G173" i="4"/>
  <c r="G115" i="4"/>
  <c r="G104" i="4"/>
  <c r="G64" i="4"/>
  <c r="G97" i="4"/>
  <c r="G117" i="4"/>
  <c r="G128" i="4"/>
  <c r="G167" i="4"/>
  <c r="G131" i="4"/>
  <c r="G174" i="4"/>
  <c r="G217" i="4"/>
  <c r="G176" i="4"/>
  <c r="G215" i="4"/>
  <c r="G172" i="4"/>
  <c r="G207" i="4"/>
  <c r="G39" i="4"/>
  <c r="G155" i="4"/>
  <c r="G43" i="4"/>
  <c r="G96" i="4"/>
  <c r="G195" i="4"/>
  <c r="G210" i="4"/>
  <c r="G218" i="4"/>
  <c r="G92" i="4"/>
  <c r="G107" i="4"/>
  <c r="G88" i="4"/>
  <c r="G233" i="4"/>
  <c r="G234" i="4"/>
  <c r="G220" i="4"/>
  <c r="G108" i="4"/>
  <c r="G221" i="4"/>
  <c r="G240" i="4"/>
  <c r="G9" i="4"/>
  <c r="G17" i="4"/>
  <c r="G32" i="4"/>
  <c r="G146" i="4"/>
  <c r="G63" i="4"/>
  <c r="G57" i="4"/>
  <c r="G121" i="4"/>
  <c r="G152" i="4"/>
  <c r="G194" i="4"/>
  <c r="G125" i="4"/>
  <c r="G35" i="4"/>
  <c r="G61" i="4"/>
  <c r="G196" i="4"/>
  <c r="G219" i="4"/>
  <c r="G238" i="4"/>
  <c r="G127" i="4"/>
  <c r="G148" i="4"/>
  <c r="G29" i="4"/>
  <c r="G8" i="4"/>
  <c r="G126" i="4"/>
  <c r="G236" i="4"/>
  <c r="G33" i="4"/>
  <c r="G101" i="4"/>
  <c r="G5" i="4"/>
  <c r="G130" i="4"/>
  <c r="G81" i="4"/>
  <c r="G36" i="4"/>
  <c r="G141" i="4"/>
  <c r="G129" i="4"/>
  <c r="G161" i="4"/>
  <c r="G31" i="4"/>
  <c r="G222" i="4"/>
  <c r="G239" i="4"/>
  <c r="G191" i="4"/>
  <c r="G72" i="4"/>
  <c r="G197" i="4"/>
  <c r="G112" i="4"/>
  <c r="G28" i="4"/>
  <c r="G213" i="4"/>
  <c r="G41" i="4"/>
  <c r="G56" i="4"/>
  <c r="G166" i="4"/>
  <c r="G156" i="4"/>
  <c r="G137" i="4"/>
  <c r="G37" i="4"/>
  <c r="G188" i="4"/>
  <c r="G153" i="4"/>
  <c r="G227" i="4"/>
  <c r="G16" i="4"/>
  <c r="G145" i="4"/>
  <c r="G102" i="4"/>
  <c r="G133" i="4"/>
  <c r="G225" i="4"/>
  <c r="G30" i="4"/>
  <c r="G160" i="4"/>
  <c r="G40" i="4"/>
  <c r="G144" i="4"/>
  <c r="G204" i="4"/>
  <c r="G157" i="4"/>
  <c r="G134" i="4"/>
  <c r="G50" i="4"/>
  <c r="G180" i="4"/>
  <c r="G60" i="4"/>
  <c r="G82" i="4"/>
  <c r="G237" i="4"/>
  <c r="G181" i="4"/>
  <c r="G14" i="4"/>
  <c r="G70" i="4"/>
  <c r="G45" i="4"/>
  <c r="G169" i="4"/>
  <c r="G49" i="4"/>
  <c r="G223" i="4"/>
  <c r="G205" i="4"/>
  <c r="G38" i="4"/>
  <c r="G139" i="4"/>
  <c r="G25" i="4"/>
  <c r="G34" i="4"/>
  <c r="G12" i="4"/>
  <c r="G184" i="4"/>
  <c r="G95" i="4"/>
  <c r="G62" i="4"/>
  <c r="G159" i="4"/>
  <c r="G59" i="4"/>
  <c r="G54" i="4"/>
  <c r="G168" i="4"/>
  <c r="G164" i="4"/>
  <c r="G3" i="4"/>
  <c r="G4" i="4"/>
  <c r="G135" i="4"/>
  <c r="G151" i="4"/>
  <c r="G74" i="4"/>
  <c r="G51" i="4"/>
  <c r="G94" i="4"/>
  <c r="G163" i="4"/>
  <c r="G185" i="4"/>
  <c r="G85" i="4"/>
  <c r="G18" i="4"/>
  <c r="G116" i="4"/>
  <c r="G55" i="4"/>
  <c r="G53" i="4"/>
  <c r="G202" i="4"/>
  <c r="G27" i="4"/>
  <c r="G165" i="4"/>
  <c r="G203" i="4"/>
  <c r="G123" i="4"/>
  <c r="G171" i="4"/>
  <c r="G11" i="4"/>
  <c r="G48" i="4"/>
  <c r="G6" i="4"/>
  <c r="G162" i="4"/>
  <c r="G122" i="4"/>
  <c r="G216" i="4"/>
  <c r="G86" i="4"/>
  <c r="G242" i="4"/>
  <c r="G212" i="4"/>
  <c r="G75" i="4"/>
  <c r="G99" i="4"/>
  <c r="G132" i="4"/>
  <c r="G228" i="4"/>
  <c r="G42" i="4"/>
  <c r="G208" i="4"/>
  <c r="G136" i="4"/>
  <c r="G67" i="4"/>
  <c r="G179" i="4"/>
  <c r="G199" i="4"/>
  <c r="G109" i="4"/>
  <c r="G186" i="4"/>
  <c r="G177" i="4"/>
  <c r="G209" i="4"/>
  <c r="G84" i="4"/>
  <c r="G193" i="4"/>
  <c r="G100" i="4"/>
  <c r="G69" i="4"/>
  <c r="G214" i="4"/>
  <c r="G68" i="4"/>
  <c r="G110" i="4"/>
  <c r="G15" i="4"/>
  <c r="G66" i="4"/>
  <c r="G78" i="4"/>
  <c r="G211" i="4"/>
  <c r="G90" i="4"/>
  <c r="G98" i="4"/>
  <c r="G20" i="4"/>
  <c r="G114" i="4"/>
  <c r="G192" i="4"/>
  <c r="G120" i="4"/>
  <c r="G83" i="4"/>
  <c r="G79" i="4"/>
  <c r="G201" i="4"/>
  <c r="G158" i="4"/>
  <c r="G87" i="4"/>
  <c r="G52" i="4"/>
  <c r="G138" i="4"/>
  <c r="G149" i="4"/>
  <c r="G2" i="4"/>
  <c r="G241" i="4"/>
  <c r="G7" i="4"/>
  <c r="P253" i="6" l="1"/>
  <c r="S253" i="6"/>
  <c r="R253" i="6"/>
  <c r="T253" i="6"/>
  <c r="Q253" i="6"/>
  <c r="M253" i="6"/>
  <c r="O253" i="6"/>
  <c r="U253" i="6"/>
  <c r="N253" i="6"/>
  <c r="N229" i="6"/>
  <c r="M229" i="6"/>
  <c r="T229" i="6"/>
  <c r="S229" i="6"/>
  <c r="U229" i="6"/>
  <c r="R229" i="6"/>
  <c r="Q229" i="6"/>
  <c r="O229" i="6"/>
  <c r="P229" i="6"/>
  <c r="U205" i="6"/>
  <c r="R205" i="6"/>
  <c r="Q205" i="6"/>
  <c r="S205" i="6"/>
  <c r="M205" i="6"/>
  <c r="P205" i="6"/>
  <c r="O205" i="6"/>
  <c r="T205" i="6"/>
  <c r="N205" i="6"/>
  <c r="Q181" i="6"/>
  <c r="M181" i="6"/>
  <c r="U181" i="6"/>
  <c r="O181" i="6"/>
  <c r="P181" i="6"/>
  <c r="S181" i="6"/>
  <c r="N181" i="6"/>
  <c r="R181" i="6"/>
  <c r="T181" i="6"/>
  <c r="T157" i="6"/>
  <c r="P157" i="6"/>
  <c r="O157" i="6"/>
  <c r="R157" i="6"/>
  <c r="U157" i="6"/>
  <c r="S157" i="6"/>
  <c r="M157" i="6"/>
  <c r="N157" i="6"/>
  <c r="Q157" i="6"/>
  <c r="N133" i="6"/>
  <c r="U133" i="6"/>
  <c r="P133" i="6"/>
  <c r="Q133" i="6"/>
  <c r="T133" i="6"/>
  <c r="M133" i="6"/>
  <c r="S133" i="6"/>
  <c r="O133" i="6"/>
  <c r="R133" i="6"/>
  <c r="T109" i="6"/>
  <c r="M109" i="6"/>
  <c r="R109" i="6"/>
  <c r="S109" i="6"/>
  <c r="U109" i="6"/>
  <c r="O109" i="6"/>
  <c r="P109" i="6"/>
  <c r="N109" i="6"/>
  <c r="Q109" i="6"/>
  <c r="T85" i="6"/>
  <c r="U85" i="6"/>
  <c r="Q85" i="6"/>
  <c r="O85" i="6"/>
  <c r="R85" i="6"/>
  <c r="M85" i="6"/>
  <c r="N85" i="6"/>
  <c r="P85" i="6"/>
  <c r="S85" i="6"/>
  <c r="O61" i="6"/>
  <c r="P61" i="6"/>
  <c r="S61" i="6"/>
  <c r="T61" i="6"/>
  <c r="Q61" i="6"/>
  <c r="U61" i="6"/>
  <c r="M61" i="6"/>
  <c r="N61" i="6"/>
  <c r="R61" i="6"/>
  <c r="N266" i="6"/>
  <c r="R266" i="6"/>
  <c r="S266" i="6"/>
  <c r="T266" i="6"/>
  <c r="U266" i="6"/>
  <c r="M266" i="6"/>
  <c r="O266" i="6"/>
  <c r="P266" i="6"/>
  <c r="Q266" i="6"/>
  <c r="M195" i="6"/>
  <c r="T195" i="6"/>
  <c r="O195" i="6"/>
  <c r="U195" i="6"/>
  <c r="Q195" i="6"/>
  <c r="R195" i="6"/>
  <c r="P195" i="6"/>
  <c r="S195" i="6"/>
  <c r="N195" i="6"/>
  <c r="T254" i="6"/>
  <c r="R254" i="6"/>
  <c r="P254" i="6"/>
  <c r="M254" i="6"/>
  <c r="S254" i="6"/>
  <c r="U254" i="6"/>
  <c r="O254" i="6"/>
  <c r="Q254" i="6"/>
  <c r="N254" i="6"/>
  <c r="P220" i="6"/>
  <c r="S220" i="6"/>
  <c r="R220" i="6"/>
  <c r="M220" i="6"/>
  <c r="T220" i="6"/>
  <c r="O220" i="6"/>
  <c r="Q220" i="6"/>
  <c r="N220" i="6"/>
  <c r="U220" i="6"/>
  <c r="T27" i="6"/>
  <c r="O27" i="6"/>
  <c r="S27" i="6"/>
  <c r="N27" i="6"/>
  <c r="M27" i="6"/>
  <c r="P27" i="6"/>
  <c r="Q27" i="6"/>
  <c r="R27" i="6"/>
  <c r="U27" i="6"/>
  <c r="P50" i="6"/>
  <c r="Q50" i="6"/>
  <c r="N50" i="6"/>
  <c r="O50" i="6"/>
  <c r="R50" i="6"/>
  <c r="U50" i="6"/>
  <c r="T50" i="6"/>
  <c r="S50" i="6"/>
  <c r="M50" i="6"/>
  <c r="S242" i="6"/>
  <c r="N242" i="6"/>
  <c r="T242" i="6"/>
  <c r="P242" i="6"/>
  <c r="Q242" i="6"/>
  <c r="R242" i="6"/>
  <c r="U242" i="6"/>
  <c r="O242" i="6"/>
  <c r="M242" i="6"/>
  <c r="O206" i="6"/>
  <c r="S206" i="6"/>
  <c r="T206" i="6"/>
  <c r="R206" i="6"/>
  <c r="M206" i="6"/>
  <c r="U206" i="6"/>
  <c r="P206" i="6"/>
  <c r="N206" i="6"/>
  <c r="Q206" i="6"/>
  <c r="M250" i="6"/>
  <c r="R250" i="6"/>
  <c r="O250" i="6"/>
  <c r="N250" i="6"/>
  <c r="P250" i="6"/>
  <c r="S250" i="6"/>
  <c r="Q250" i="6"/>
  <c r="T250" i="6"/>
  <c r="U250" i="6"/>
  <c r="N127" i="6"/>
  <c r="O127" i="6"/>
  <c r="S127" i="6"/>
  <c r="U127" i="6"/>
  <c r="T127" i="6"/>
  <c r="Q127" i="6"/>
  <c r="R127" i="6"/>
  <c r="P127" i="6"/>
  <c r="M127" i="6"/>
  <c r="R267" i="6"/>
  <c r="P267" i="6"/>
  <c r="Q267" i="6"/>
  <c r="N267" i="6"/>
  <c r="O267" i="6"/>
  <c r="M267" i="6"/>
  <c r="U267" i="6"/>
  <c r="S267" i="6"/>
  <c r="T267" i="6"/>
  <c r="N219" i="6"/>
  <c r="P219" i="6"/>
  <c r="M219" i="6"/>
  <c r="O219" i="6"/>
  <c r="R219" i="6"/>
  <c r="T219" i="6"/>
  <c r="S219" i="6"/>
  <c r="Q219" i="6"/>
  <c r="U219" i="6"/>
  <c r="T150" i="6"/>
  <c r="M150" i="6"/>
  <c r="N150" i="6"/>
  <c r="O150" i="6"/>
  <c r="Q150" i="6"/>
  <c r="S150" i="6"/>
  <c r="U150" i="6"/>
  <c r="P150" i="6"/>
  <c r="R150" i="6"/>
  <c r="O26" i="6"/>
  <c r="T26" i="6"/>
  <c r="N26" i="6"/>
  <c r="S26" i="6"/>
  <c r="U26" i="6"/>
  <c r="P26" i="6"/>
  <c r="M26" i="6"/>
  <c r="R26" i="6"/>
  <c r="Q26" i="6"/>
  <c r="N171" i="6"/>
  <c r="U171" i="6"/>
  <c r="Q171" i="6"/>
  <c r="T171" i="6"/>
  <c r="R171" i="6"/>
  <c r="O171" i="6"/>
  <c r="P171" i="6"/>
  <c r="S171" i="6"/>
  <c r="M171" i="6"/>
  <c r="J269" i="4"/>
  <c r="H267" i="4"/>
  <c r="K269" i="4"/>
  <c r="I267" i="4"/>
  <c r="H270" i="4"/>
  <c r="H269" i="4"/>
  <c r="I271" i="4"/>
  <c r="I263" i="4"/>
  <c r="J271" i="4"/>
  <c r="J263" i="4"/>
  <c r="K271" i="4"/>
  <c r="K263" i="4"/>
  <c r="I265" i="4"/>
  <c r="H262" i="4"/>
  <c r="J266" i="4"/>
  <c r="K266" i="4"/>
  <c r="K265" i="4"/>
  <c r="I268" i="4"/>
  <c r="J265" i="4"/>
  <c r="I269" i="4"/>
  <c r="H266" i="4"/>
  <c r="I270" i="4"/>
  <c r="K264" i="4"/>
  <c r="J270" i="4"/>
  <c r="H271" i="4"/>
  <c r="I266" i="4"/>
  <c r="J268" i="4"/>
  <c r="K262" i="4"/>
  <c r="H264" i="4"/>
  <c r="I264" i="4"/>
  <c r="J264" i="4"/>
  <c r="J262" i="4"/>
  <c r="H263" i="4"/>
  <c r="I262" i="4"/>
  <c r="K267" i="4"/>
  <c r="K268" i="4"/>
  <c r="H268" i="4"/>
  <c r="K270" i="4"/>
  <c r="H265" i="4"/>
  <c r="J267" i="4"/>
  <c r="O75" i="6"/>
  <c r="P75" i="6"/>
  <c r="R75" i="6"/>
  <c r="M75" i="6"/>
  <c r="Q75" i="6"/>
  <c r="N75" i="6"/>
  <c r="S75" i="6"/>
  <c r="U75" i="6"/>
  <c r="T75" i="6"/>
  <c r="R125" i="6"/>
  <c r="P125" i="6"/>
  <c r="Q125" i="6"/>
  <c r="S125" i="6"/>
  <c r="M125" i="6"/>
  <c r="O125" i="6"/>
  <c r="U125" i="6"/>
  <c r="N125" i="6"/>
  <c r="T125" i="6"/>
  <c r="P64" i="6"/>
  <c r="Q64" i="6"/>
  <c r="R64" i="6"/>
  <c r="S64" i="6"/>
  <c r="N64" i="6"/>
  <c r="U64" i="6"/>
  <c r="M64" i="6"/>
  <c r="T64" i="6"/>
  <c r="O64" i="6"/>
  <c r="P178" i="6"/>
  <c r="U178" i="6"/>
  <c r="S178" i="6"/>
  <c r="M178" i="6"/>
  <c r="T178" i="6"/>
  <c r="Q178" i="6"/>
  <c r="O178" i="6"/>
  <c r="R178" i="6"/>
  <c r="N178" i="6"/>
  <c r="N273" i="6"/>
  <c r="O273" i="6"/>
  <c r="M273" i="6"/>
  <c r="P273" i="6"/>
  <c r="Q273" i="6"/>
  <c r="R273" i="6"/>
  <c r="U273" i="6"/>
  <c r="T273" i="6"/>
  <c r="S273" i="6"/>
  <c r="R215" i="6"/>
  <c r="N215" i="6"/>
  <c r="T215" i="6"/>
  <c r="U215" i="6"/>
  <c r="O215" i="6"/>
  <c r="M215" i="6"/>
  <c r="P215" i="6"/>
  <c r="S215" i="6"/>
  <c r="Q215" i="6"/>
  <c r="P71" i="6"/>
  <c r="N71" i="6"/>
  <c r="O71" i="6"/>
  <c r="Q71" i="6"/>
  <c r="S71" i="6"/>
  <c r="M71" i="6"/>
  <c r="R71" i="6"/>
  <c r="T71" i="6"/>
  <c r="U71" i="6"/>
  <c r="S24" i="6"/>
  <c r="N24" i="6"/>
  <c r="T24" i="6"/>
  <c r="Q24" i="6"/>
  <c r="P24" i="6"/>
  <c r="R24" i="6"/>
  <c r="O24" i="6"/>
  <c r="M24" i="6"/>
  <c r="U24" i="6"/>
  <c r="Q161" i="6"/>
  <c r="R161" i="6"/>
  <c r="P161" i="6"/>
  <c r="N161" i="6"/>
  <c r="S161" i="6"/>
  <c r="O161" i="6"/>
  <c r="U161" i="6"/>
  <c r="T161" i="6"/>
  <c r="M161" i="6"/>
  <c r="Q231" i="6"/>
  <c r="R231" i="6"/>
  <c r="O231" i="6"/>
  <c r="P231" i="6"/>
  <c r="U231" i="6"/>
  <c r="S231" i="6"/>
  <c r="T231" i="6"/>
  <c r="N231" i="6"/>
  <c r="M231" i="6"/>
  <c r="T275" i="6"/>
  <c r="U275" i="6"/>
  <c r="Q275" i="6"/>
  <c r="N275" i="6"/>
  <c r="O275" i="6"/>
  <c r="S275" i="6"/>
  <c r="P275" i="6"/>
  <c r="R275" i="6"/>
  <c r="M275" i="6"/>
  <c r="N102" i="6"/>
  <c r="O102" i="6"/>
  <c r="Q102" i="6"/>
  <c r="U102" i="6"/>
  <c r="R102" i="6"/>
  <c r="S102" i="6"/>
  <c r="M102" i="6"/>
  <c r="T102" i="6"/>
  <c r="P102" i="6"/>
  <c r="P236" i="6"/>
  <c r="R236" i="6"/>
  <c r="N236" i="6"/>
  <c r="M236" i="6"/>
  <c r="U236" i="6"/>
  <c r="Q236" i="6"/>
  <c r="T236" i="6"/>
  <c r="S236" i="6"/>
  <c r="O236" i="6"/>
  <c r="R55" i="6"/>
  <c r="Q55" i="6"/>
  <c r="S55" i="6"/>
  <c r="M55" i="6"/>
  <c r="T55" i="6"/>
  <c r="O55" i="6"/>
  <c r="N55" i="6"/>
  <c r="P55" i="6"/>
  <c r="U55" i="6"/>
  <c r="M137" i="6"/>
  <c r="P137" i="6"/>
  <c r="T137" i="6"/>
  <c r="U137" i="6"/>
  <c r="N137" i="6"/>
  <c r="O137" i="6"/>
  <c r="Q137" i="6"/>
  <c r="S137" i="6"/>
  <c r="R137" i="6"/>
  <c r="R207" i="6"/>
  <c r="P207" i="6"/>
  <c r="Q207" i="6"/>
  <c r="S207" i="6"/>
  <c r="T207" i="6"/>
  <c r="U207" i="6"/>
  <c r="N207" i="6"/>
  <c r="O207" i="6"/>
  <c r="M207" i="6"/>
  <c r="O251" i="6"/>
  <c r="R251" i="6"/>
  <c r="P251" i="6"/>
  <c r="Q251" i="6"/>
  <c r="S251" i="6"/>
  <c r="M251" i="6"/>
  <c r="T251" i="6"/>
  <c r="U251" i="6"/>
  <c r="N251" i="6"/>
  <c r="O293" i="6"/>
  <c r="Q293" i="6"/>
  <c r="T293" i="6"/>
  <c r="N293" i="6"/>
  <c r="U293" i="6"/>
  <c r="M293" i="6"/>
  <c r="R293" i="6"/>
  <c r="P293" i="6"/>
  <c r="S293" i="6"/>
  <c r="M212" i="6"/>
  <c r="Q212" i="6"/>
  <c r="T212" i="6"/>
  <c r="N212" i="6"/>
  <c r="R212" i="6"/>
  <c r="S212" i="6"/>
  <c r="O212" i="6"/>
  <c r="P212" i="6"/>
  <c r="U212" i="6"/>
  <c r="O270" i="6"/>
  <c r="Q270" i="6"/>
  <c r="M270" i="6"/>
  <c r="R270" i="6"/>
  <c r="S270" i="6"/>
  <c r="U270" i="6"/>
  <c r="T270" i="6"/>
  <c r="P270" i="6"/>
  <c r="N270" i="6"/>
  <c r="Q113" i="6"/>
  <c r="T113" i="6"/>
  <c r="O113" i="6"/>
  <c r="P113" i="6"/>
  <c r="M113" i="6"/>
  <c r="R113" i="6"/>
  <c r="S113" i="6"/>
  <c r="U113" i="6"/>
  <c r="N113" i="6"/>
  <c r="Q183" i="6"/>
  <c r="M183" i="6"/>
  <c r="R183" i="6"/>
  <c r="T183" i="6"/>
  <c r="U183" i="6"/>
  <c r="N183" i="6"/>
  <c r="O183" i="6"/>
  <c r="P183" i="6"/>
  <c r="S183" i="6"/>
  <c r="N227" i="6"/>
  <c r="P227" i="6"/>
  <c r="R227" i="6"/>
  <c r="M227" i="6"/>
  <c r="O227" i="6"/>
  <c r="T227" i="6"/>
  <c r="U227" i="6"/>
  <c r="Q227" i="6"/>
  <c r="S227" i="6"/>
  <c r="T173" i="6"/>
  <c r="M173" i="6"/>
  <c r="Q173" i="6"/>
  <c r="O173" i="6"/>
  <c r="P173" i="6"/>
  <c r="U173" i="6"/>
  <c r="N173" i="6"/>
  <c r="R173" i="6"/>
  <c r="S173" i="6"/>
  <c r="Q188" i="6"/>
  <c r="M188" i="6"/>
  <c r="T188" i="6"/>
  <c r="N188" i="6"/>
  <c r="S188" i="6"/>
  <c r="U188" i="6"/>
  <c r="O188" i="6"/>
  <c r="R188" i="6"/>
  <c r="P188" i="6"/>
  <c r="U174" i="6"/>
  <c r="P174" i="6"/>
  <c r="R174" i="6"/>
  <c r="M174" i="6"/>
  <c r="N174" i="6"/>
  <c r="S174" i="6"/>
  <c r="O174" i="6"/>
  <c r="T174" i="6"/>
  <c r="Q174" i="6"/>
  <c r="M89" i="6"/>
  <c r="N89" i="6"/>
  <c r="U89" i="6"/>
  <c r="Q89" i="6"/>
  <c r="R89" i="6"/>
  <c r="S89" i="6"/>
  <c r="O89" i="6"/>
  <c r="P89" i="6"/>
  <c r="T89" i="6"/>
  <c r="U247" i="6"/>
  <c r="M247" i="6"/>
  <c r="O247" i="6"/>
  <c r="Q247" i="6"/>
  <c r="N247" i="6"/>
  <c r="P247" i="6"/>
  <c r="R247" i="6"/>
  <c r="S247" i="6"/>
  <c r="T247" i="6"/>
  <c r="Q176" i="6"/>
  <c r="S176" i="6"/>
  <c r="N176" i="6"/>
  <c r="P176" i="6"/>
  <c r="M176" i="6"/>
  <c r="T176" i="6"/>
  <c r="R176" i="6"/>
  <c r="U176" i="6"/>
  <c r="O176" i="6"/>
  <c r="R262" i="6"/>
  <c r="U262" i="6"/>
  <c r="S262" i="6"/>
  <c r="P262" i="6"/>
  <c r="N262" i="6"/>
  <c r="M262" i="6"/>
  <c r="T262" i="6"/>
  <c r="Q262" i="6"/>
  <c r="O262" i="6"/>
  <c r="M282" i="6"/>
  <c r="R282" i="6"/>
  <c r="T282" i="6"/>
  <c r="O282" i="6"/>
  <c r="P282" i="6"/>
  <c r="U282" i="6"/>
  <c r="S282" i="6"/>
  <c r="Q282" i="6"/>
  <c r="N282" i="6"/>
  <c r="P47" i="6"/>
  <c r="U47" i="6"/>
  <c r="M47" i="6"/>
  <c r="R47" i="6"/>
  <c r="T47" i="6"/>
  <c r="Q47" i="6"/>
  <c r="N47" i="6"/>
  <c r="S47" i="6"/>
  <c r="O47" i="6"/>
  <c r="Q103" i="6"/>
  <c r="O103" i="6"/>
  <c r="M103" i="6"/>
  <c r="P103" i="6"/>
  <c r="N103" i="6"/>
  <c r="S103" i="6"/>
  <c r="T103" i="6"/>
  <c r="U103" i="6"/>
  <c r="R103" i="6"/>
  <c r="N56" i="6"/>
  <c r="S56" i="6"/>
  <c r="R56" i="6"/>
  <c r="P56" i="6"/>
  <c r="Q56" i="6"/>
  <c r="M56" i="6"/>
  <c r="O56" i="6"/>
  <c r="T56" i="6"/>
  <c r="U56" i="6"/>
  <c r="M214" i="6"/>
  <c r="U214" i="6"/>
  <c r="T214" i="6"/>
  <c r="R214" i="6"/>
  <c r="S214" i="6"/>
  <c r="O214" i="6"/>
  <c r="P214" i="6"/>
  <c r="N214" i="6"/>
  <c r="Q214" i="6"/>
  <c r="Q258" i="6"/>
  <c r="R258" i="6"/>
  <c r="S258" i="6"/>
  <c r="M258" i="6"/>
  <c r="T258" i="6"/>
  <c r="U258" i="6"/>
  <c r="P258" i="6"/>
  <c r="O258" i="6"/>
  <c r="N258" i="6"/>
  <c r="O286" i="6"/>
  <c r="Q286" i="6"/>
  <c r="P286" i="6"/>
  <c r="R286" i="6"/>
  <c r="N286" i="6"/>
  <c r="U286" i="6"/>
  <c r="T286" i="6"/>
  <c r="S286" i="6"/>
  <c r="M286" i="6"/>
  <c r="P294" i="6"/>
  <c r="U294" i="6"/>
  <c r="Q294" i="6"/>
  <c r="T294" i="6"/>
  <c r="O294" i="6"/>
  <c r="M294" i="6"/>
  <c r="S294" i="6"/>
  <c r="N294" i="6"/>
  <c r="R294" i="6"/>
  <c r="S223" i="6"/>
  <c r="N223" i="6"/>
  <c r="M223" i="6"/>
  <c r="O223" i="6"/>
  <c r="U223" i="6"/>
  <c r="Q223" i="6"/>
  <c r="T223" i="6"/>
  <c r="P223" i="6"/>
  <c r="R223" i="6"/>
  <c r="P166" i="6"/>
  <c r="M166" i="6"/>
  <c r="O166" i="6"/>
  <c r="Q166" i="6"/>
  <c r="R166" i="6"/>
  <c r="N166" i="6"/>
  <c r="U166" i="6"/>
  <c r="S166" i="6"/>
  <c r="T166" i="6"/>
  <c r="R149" i="6"/>
  <c r="Q149" i="6"/>
  <c r="N149" i="6"/>
  <c r="S149" i="6"/>
  <c r="U149" i="6"/>
  <c r="T149" i="6"/>
  <c r="M149" i="6"/>
  <c r="O149" i="6"/>
  <c r="P149" i="6"/>
  <c r="Q17" i="6"/>
  <c r="R17" i="6"/>
  <c r="U17" i="6"/>
  <c r="S17" i="6"/>
  <c r="O17" i="6"/>
  <c r="T17" i="6"/>
  <c r="P17" i="6"/>
  <c r="M17" i="6"/>
  <c r="N17" i="6"/>
  <c r="R87" i="6"/>
  <c r="N87" i="6"/>
  <c r="S87" i="6"/>
  <c r="M87" i="6"/>
  <c r="T87" i="6"/>
  <c r="U87" i="6"/>
  <c r="Q87" i="6"/>
  <c r="P87" i="6"/>
  <c r="O87" i="6"/>
  <c r="R131" i="6"/>
  <c r="M131" i="6"/>
  <c r="O131" i="6"/>
  <c r="Q131" i="6"/>
  <c r="P131" i="6"/>
  <c r="T131" i="6"/>
  <c r="U131" i="6"/>
  <c r="S131" i="6"/>
  <c r="N131" i="6"/>
  <c r="S52" i="6"/>
  <c r="M52" i="6"/>
  <c r="O52" i="6"/>
  <c r="N52" i="6"/>
  <c r="P52" i="6"/>
  <c r="Q52" i="6"/>
  <c r="T52" i="6"/>
  <c r="R52" i="6"/>
  <c r="U52" i="6"/>
  <c r="S92" i="6"/>
  <c r="M92" i="6"/>
  <c r="P92" i="6"/>
  <c r="R92" i="6"/>
  <c r="N92" i="6"/>
  <c r="T92" i="6"/>
  <c r="U92" i="6"/>
  <c r="O92" i="6"/>
  <c r="Q92" i="6"/>
  <c r="M190" i="6"/>
  <c r="U190" i="6"/>
  <c r="R190" i="6"/>
  <c r="T190" i="6"/>
  <c r="S190" i="6"/>
  <c r="O190" i="6"/>
  <c r="P190" i="6"/>
  <c r="N190" i="6"/>
  <c r="Q190" i="6"/>
  <c r="P63" i="6"/>
  <c r="R63" i="6"/>
  <c r="S63" i="6"/>
  <c r="Q63" i="6"/>
  <c r="M63" i="6"/>
  <c r="N63" i="6"/>
  <c r="O63" i="6"/>
  <c r="U63" i="6"/>
  <c r="T63" i="6"/>
  <c r="T107" i="6"/>
  <c r="Q107" i="6"/>
  <c r="U107" i="6"/>
  <c r="S107" i="6"/>
  <c r="N107" i="6"/>
  <c r="M107" i="6"/>
  <c r="P107" i="6"/>
  <c r="R107" i="6"/>
  <c r="O107" i="6"/>
  <c r="O243" i="6"/>
  <c r="R243" i="6"/>
  <c r="T243" i="6"/>
  <c r="U243" i="6"/>
  <c r="M243" i="6"/>
  <c r="P243" i="6"/>
  <c r="Q243" i="6"/>
  <c r="N243" i="6"/>
  <c r="S243" i="6"/>
  <c r="U68" i="6"/>
  <c r="P68" i="6"/>
  <c r="S68" i="6"/>
  <c r="O68" i="6"/>
  <c r="Q68" i="6"/>
  <c r="R68" i="6"/>
  <c r="M68" i="6"/>
  <c r="N68" i="6"/>
  <c r="T68" i="6"/>
  <c r="N244" i="6"/>
  <c r="Q244" i="6"/>
  <c r="T244" i="6"/>
  <c r="U244" i="6"/>
  <c r="S244" i="6"/>
  <c r="M244" i="6"/>
  <c r="O244" i="6"/>
  <c r="R244" i="6"/>
  <c r="P244" i="6"/>
  <c r="U269" i="6"/>
  <c r="T269" i="6"/>
  <c r="O269" i="6"/>
  <c r="P269" i="6"/>
  <c r="R269" i="6"/>
  <c r="Q269" i="6"/>
  <c r="S269" i="6"/>
  <c r="N269" i="6"/>
  <c r="M269" i="6"/>
  <c r="S83" i="6"/>
  <c r="O83" i="6"/>
  <c r="P83" i="6"/>
  <c r="R83" i="6"/>
  <c r="U83" i="6"/>
  <c r="Q83" i="6"/>
  <c r="N83" i="6"/>
  <c r="T83" i="6"/>
  <c r="M83" i="6"/>
  <c r="S54" i="6"/>
  <c r="O54" i="6"/>
  <c r="R54" i="6"/>
  <c r="U54" i="6"/>
  <c r="Q54" i="6"/>
  <c r="P54" i="6"/>
  <c r="N54" i="6"/>
  <c r="T54" i="6"/>
  <c r="M54" i="6"/>
  <c r="U147" i="6"/>
  <c r="R147" i="6"/>
  <c r="S147" i="6"/>
  <c r="O147" i="6"/>
  <c r="M147" i="6"/>
  <c r="T147" i="6"/>
  <c r="Q147" i="6"/>
  <c r="N147" i="6"/>
  <c r="P147" i="6"/>
  <c r="U70" i="6"/>
  <c r="T70" i="6"/>
  <c r="R70" i="6"/>
  <c r="M70" i="6"/>
  <c r="N70" i="6"/>
  <c r="P70" i="6"/>
  <c r="Q70" i="6"/>
  <c r="O70" i="6"/>
  <c r="S70" i="6"/>
  <c r="M44" i="6"/>
  <c r="P44" i="6"/>
  <c r="S44" i="6"/>
  <c r="N44" i="6"/>
  <c r="R44" i="6"/>
  <c r="T44" i="6"/>
  <c r="O44" i="6"/>
  <c r="Q44" i="6"/>
  <c r="U44" i="6"/>
  <c r="R162" i="6"/>
  <c r="T162" i="6"/>
  <c r="M162" i="6"/>
  <c r="N162" i="6"/>
  <c r="P162" i="6"/>
  <c r="O162" i="6"/>
  <c r="S162" i="6"/>
  <c r="U162" i="6"/>
  <c r="Q162" i="6"/>
  <c r="M148" i="6"/>
  <c r="P148" i="6"/>
  <c r="R148" i="6"/>
  <c r="N148" i="6"/>
  <c r="Q148" i="6"/>
  <c r="U148" i="6"/>
  <c r="O148" i="6"/>
  <c r="S148" i="6"/>
  <c r="T148" i="6"/>
  <c r="P283" i="6"/>
  <c r="T283" i="6"/>
  <c r="U283" i="6"/>
  <c r="N283" i="6"/>
  <c r="R283" i="6"/>
  <c r="M283" i="6"/>
  <c r="O283" i="6"/>
  <c r="Q283" i="6"/>
  <c r="S283" i="6"/>
  <c r="T232" i="6"/>
  <c r="U232" i="6"/>
  <c r="M232" i="6"/>
  <c r="O232" i="6"/>
  <c r="R232" i="6"/>
  <c r="S232" i="6"/>
  <c r="N232" i="6"/>
  <c r="P232" i="6"/>
  <c r="Q232" i="6"/>
  <c r="P197" i="6"/>
  <c r="Q197" i="6"/>
  <c r="T197" i="6"/>
  <c r="R197" i="6"/>
  <c r="U197" i="6"/>
  <c r="N197" i="6"/>
  <c r="O197" i="6"/>
  <c r="S197" i="6"/>
  <c r="M197" i="6"/>
  <c r="O15" i="6"/>
  <c r="T15" i="6"/>
  <c r="M15" i="6"/>
  <c r="N15" i="6"/>
  <c r="Q15" i="6"/>
  <c r="R15" i="6"/>
  <c r="P15" i="6"/>
  <c r="U15" i="6"/>
  <c r="S15" i="6"/>
  <c r="O37" i="6"/>
  <c r="M37" i="6"/>
  <c r="N37" i="6"/>
  <c r="U37" i="6"/>
  <c r="Q37" i="6"/>
  <c r="R37" i="6"/>
  <c r="P37" i="6"/>
  <c r="T37" i="6"/>
  <c r="S37" i="6"/>
  <c r="M35" i="6"/>
  <c r="S35" i="6"/>
  <c r="N35" i="6"/>
  <c r="O35" i="6"/>
  <c r="P35" i="6"/>
  <c r="U35" i="6"/>
  <c r="Q35" i="6"/>
  <c r="R35" i="6"/>
  <c r="T35" i="6"/>
  <c r="T235" i="6"/>
  <c r="U235" i="6"/>
  <c r="P235" i="6"/>
  <c r="R235" i="6"/>
  <c r="O235" i="6"/>
  <c r="M235" i="6"/>
  <c r="S235" i="6"/>
  <c r="Q235" i="6"/>
  <c r="N235" i="6"/>
  <c r="M187" i="6"/>
  <c r="U187" i="6"/>
  <c r="O187" i="6"/>
  <c r="Q187" i="6"/>
  <c r="N187" i="6"/>
  <c r="T187" i="6"/>
  <c r="S187" i="6"/>
  <c r="P187" i="6"/>
  <c r="R187" i="6"/>
  <c r="O100" i="6"/>
  <c r="Q100" i="6"/>
  <c r="N100" i="6"/>
  <c r="P100" i="6"/>
  <c r="R100" i="6"/>
  <c r="T100" i="6"/>
  <c r="U100" i="6"/>
  <c r="S100" i="6"/>
  <c r="M100" i="6"/>
  <c r="P128" i="6"/>
  <c r="R128" i="6"/>
  <c r="M128" i="6"/>
  <c r="T128" i="6"/>
  <c r="S128" i="6"/>
  <c r="U128" i="6"/>
  <c r="Q128" i="6"/>
  <c r="N128" i="6"/>
  <c r="O128" i="6"/>
  <c r="Q136" i="6"/>
  <c r="U136" i="6"/>
  <c r="N136" i="6"/>
  <c r="R136" i="6"/>
  <c r="P136" i="6"/>
  <c r="S136" i="6"/>
  <c r="O136" i="6"/>
  <c r="M136" i="6"/>
  <c r="T136" i="6"/>
  <c r="R5" i="6"/>
  <c r="S5" i="6"/>
  <c r="T5" i="6"/>
  <c r="U5" i="6"/>
  <c r="N5" i="6"/>
  <c r="M5" i="6"/>
  <c r="O5" i="6"/>
  <c r="P5" i="6"/>
  <c r="Q5" i="6"/>
  <c r="O289" i="6"/>
  <c r="N289" i="6"/>
  <c r="S289" i="6"/>
  <c r="T289" i="6"/>
  <c r="P289" i="6"/>
  <c r="Q289" i="6"/>
  <c r="R289" i="6"/>
  <c r="U289" i="6"/>
  <c r="M289" i="6"/>
  <c r="R112" i="6"/>
  <c r="S112" i="6"/>
  <c r="N112" i="6"/>
  <c r="U112" i="6"/>
  <c r="T112" i="6"/>
  <c r="O112" i="6"/>
  <c r="M112" i="6"/>
  <c r="Q112" i="6"/>
  <c r="P112" i="6"/>
  <c r="N226" i="6"/>
  <c r="Q226" i="6"/>
  <c r="M226" i="6"/>
  <c r="O226" i="6"/>
  <c r="P226" i="6"/>
  <c r="R226" i="6"/>
  <c r="T226" i="6"/>
  <c r="S226" i="6"/>
  <c r="U226" i="6"/>
  <c r="R189" i="6"/>
  <c r="S189" i="6"/>
  <c r="O189" i="6"/>
  <c r="U189" i="6"/>
  <c r="N189" i="6"/>
  <c r="P189" i="6"/>
  <c r="M189" i="6"/>
  <c r="Q189" i="6"/>
  <c r="T189" i="6"/>
  <c r="T88" i="6"/>
  <c r="M88" i="6"/>
  <c r="O88" i="6"/>
  <c r="R88" i="6"/>
  <c r="Q88" i="6"/>
  <c r="P88" i="6"/>
  <c r="N88" i="6"/>
  <c r="U88" i="6"/>
  <c r="S88" i="6"/>
  <c r="O202" i="6"/>
  <c r="M202" i="6"/>
  <c r="S202" i="6"/>
  <c r="T202" i="6"/>
  <c r="U202" i="6"/>
  <c r="P202" i="6"/>
  <c r="Q202" i="6"/>
  <c r="R202" i="6"/>
  <c r="N202" i="6"/>
  <c r="N165" i="6"/>
  <c r="R165" i="6"/>
  <c r="S165" i="6"/>
  <c r="U165" i="6"/>
  <c r="Q165" i="6"/>
  <c r="O165" i="6"/>
  <c r="M165" i="6"/>
  <c r="T165" i="6"/>
  <c r="P165" i="6"/>
  <c r="R241" i="6"/>
  <c r="T241" i="6"/>
  <c r="S241" i="6"/>
  <c r="Q241" i="6"/>
  <c r="U241" i="6"/>
  <c r="N241" i="6"/>
  <c r="O241" i="6"/>
  <c r="P241" i="6"/>
  <c r="M241" i="6"/>
  <c r="T134" i="6"/>
  <c r="O134" i="6"/>
  <c r="P134" i="6"/>
  <c r="Q134" i="6"/>
  <c r="R134" i="6"/>
  <c r="N134" i="6"/>
  <c r="S134" i="6"/>
  <c r="M134" i="6"/>
  <c r="U134" i="6"/>
  <c r="Q299" i="6"/>
  <c r="T299" i="6"/>
  <c r="N299" i="6"/>
  <c r="R299" i="6"/>
  <c r="P299" i="6"/>
  <c r="U299" i="6"/>
  <c r="S299" i="6"/>
  <c r="M299" i="6"/>
  <c r="O299" i="6"/>
  <c r="M246" i="6"/>
  <c r="O246" i="6"/>
  <c r="T246" i="6"/>
  <c r="N246" i="6"/>
  <c r="S246" i="6"/>
  <c r="U246" i="6"/>
  <c r="P246" i="6"/>
  <c r="Q246" i="6"/>
  <c r="R246" i="6"/>
  <c r="P260" i="6"/>
  <c r="T260" i="6"/>
  <c r="M260" i="6"/>
  <c r="Q260" i="6"/>
  <c r="N260" i="6"/>
  <c r="U260" i="6"/>
  <c r="S260" i="6"/>
  <c r="O260" i="6"/>
  <c r="R260" i="6"/>
  <c r="Q199" i="6"/>
  <c r="O199" i="6"/>
  <c r="R199" i="6"/>
  <c r="T199" i="6"/>
  <c r="S199" i="6"/>
  <c r="U199" i="6"/>
  <c r="M199" i="6"/>
  <c r="N199" i="6"/>
  <c r="P199" i="6"/>
  <c r="M105" i="6"/>
  <c r="P105" i="6"/>
  <c r="R105" i="6"/>
  <c r="O105" i="6"/>
  <c r="N105" i="6"/>
  <c r="U105" i="6"/>
  <c r="S105" i="6"/>
  <c r="T105" i="6"/>
  <c r="Q105" i="6"/>
  <c r="R201" i="6"/>
  <c r="M201" i="6"/>
  <c r="P201" i="6"/>
  <c r="O201" i="6"/>
  <c r="T201" i="6"/>
  <c r="Q201" i="6"/>
  <c r="U201" i="6"/>
  <c r="N201" i="6"/>
  <c r="S201" i="6"/>
  <c r="U143" i="6"/>
  <c r="P143" i="6"/>
  <c r="R143" i="6"/>
  <c r="N143" i="6"/>
  <c r="O143" i="6"/>
  <c r="M143" i="6"/>
  <c r="Q143" i="6"/>
  <c r="S143" i="6"/>
  <c r="T143" i="6"/>
  <c r="U94" i="6"/>
  <c r="P94" i="6"/>
  <c r="S94" i="6"/>
  <c r="T94" i="6"/>
  <c r="M94" i="6"/>
  <c r="Q94" i="6"/>
  <c r="R94" i="6"/>
  <c r="N94" i="6"/>
  <c r="O94" i="6"/>
  <c r="Q239" i="6"/>
  <c r="R239" i="6"/>
  <c r="S239" i="6"/>
  <c r="O239" i="6"/>
  <c r="U239" i="6"/>
  <c r="P239" i="6"/>
  <c r="T239" i="6"/>
  <c r="N239" i="6"/>
  <c r="M239" i="6"/>
  <c r="M224" i="6"/>
  <c r="O224" i="6"/>
  <c r="S224" i="6"/>
  <c r="U224" i="6"/>
  <c r="T224" i="6"/>
  <c r="N224" i="6"/>
  <c r="P224" i="6"/>
  <c r="R224" i="6"/>
  <c r="Q224" i="6"/>
  <c r="H257" i="4"/>
  <c r="I259" i="4"/>
  <c r="H252" i="4"/>
  <c r="I260" i="4"/>
  <c r="I252" i="4"/>
  <c r="K260" i="4"/>
  <c r="K257" i="4"/>
  <c r="H258" i="4"/>
  <c r="I258" i="4"/>
  <c r="J258" i="4"/>
  <c r="H256" i="4"/>
  <c r="I253" i="4"/>
  <c r="K254" i="4"/>
  <c r="K259" i="4"/>
  <c r="J260" i="4"/>
  <c r="J253" i="4"/>
  <c r="H259" i="4"/>
  <c r="H254" i="4"/>
  <c r="K253" i="4"/>
  <c r="I254" i="4"/>
  <c r="J254" i="4"/>
  <c r="H260" i="4"/>
  <c r="H255" i="4"/>
  <c r="H261" i="4"/>
  <c r="J259" i="4"/>
  <c r="I256" i="4"/>
  <c r="J256" i="4"/>
  <c r="J252" i="4"/>
  <c r="K252" i="4"/>
  <c r="K258" i="4"/>
  <c r="K255" i="4"/>
  <c r="I261" i="4"/>
  <c r="K261" i="4"/>
  <c r="K256" i="4"/>
  <c r="I257" i="4"/>
  <c r="J257" i="4"/>
  <c r="H253" i="4"/>
  <c r="J255" i="4"/>
  <c r="I255" i="4"/>
  <c r="J261" i="4"/>
  <c r="S81" i="6"/>
  <c r="U81" i="6"/>
  <c r="R81" i="6"/>
  <c r="P81" i="6"/>
  <c r="M81" i="6"/>
  <c r="N81" i="6"/>
  <c r="Q81" i="6"/>
  <c r="T81" i="6"/>
  <c r="O81" i="6"/>
  <c r="O95" i="6"/>
  <c r="Q95" i="6"/>
  <c r="N95" i="6"/>
  <c r="R95" i="6"/>
  <c r="T95" i="6"/>
  <c r="U95" i="6"/>
  <c r="P95" i="6"/>
  <c r="S95" i="6"/>
  <c r="M95" i="6"/>
  <c r="T211" i="6"/>
  <c r="U211" i="6"/>
  <c r="O211" i="6"/>
  <c r="P211" i="6"/>
  <c r="R211" i="6"/>
  <c r="S211" i="6"/>
  <c r="N211" i="6"/>
  <c r="Q211" i="6"/>
  <c r="M211" i="6"/>
  <c r="P191" i="6"/>
  <c r="O191" i="6"/>
  <c r="U191" i="6"/>
  <c r="T191" i="6"/>
  <c r="Q191" i="6"/>
  <c r="M191" i="6"/>
  <c r="N191" i="6"/>
  <c r="R191" i="6"/>
  <c r="S191" i="6"/>
  <c r="R32" i="6"/>
  <c r="N32" i="6"/>
  <c r="P32" i="6"/>
  <c r="M32" i="6"/>
  <c r="T32" i="6"/>
  <c r="O32" i="6"/>
  <c r="U32" i="6"/>
  <c r="S32" i="6"/>
  <c r="Q32" i="6"/>
  <c r="P296" i="6"/>
  <c r="S296" i="6"/>
  <c r="T296" i="6"/>
  <c r="R296" i="6"/>
  <c r="U296" i="6"/>
  <c r="N296" i="6"/>
  <c r="O296" i="6"/>
  <c r="Q296" i="6"/>
  <c r="M296" i="6"/>
  <c r="O23" i="6"/>
  <c r="N23" i="6"/>
  <c r="P23" i="6"/>
  <c r="Q23" i="6"/>
  <c r="T23" i="6"/>
  <c r="S23" i="6"/>
  <c r="M23" i="6"/>
  <c r="R23" i="6"/>
  <c r="U23" i="6"/>
  <c r="N43" i="6"/>
  <c r="O43" i="6"/>
  <c r="U43" i="6"/>
  <c r="M43" i="6"/>
  <c r="P43" i="6"/>
  <c r="Q43" i="6"/>
  <c r="R43" i="6"/>
  <c r="S43" i="6"/>
  <c r="T43" i="6"/>
  <c r="P119" i="6"/>
  <c r="R119" i="6"/>
  <c r="Q119" i="6"/>
  <c r="M119" i="6"/>
  <c r="U119" i="6"/>
  <c r="T119" i="6"/>
  <c r="S119" i="6"/>
  <c r="O119" i="6"/>
  <c r="N119" i="6"/>
  <c r="S159" i="6"/>
  <c r="O159" i="6"/>
  <c r="T159" i="6"/>
  <c r="R159" i="6"/>
  <c r="Q159" i="6"/>
  <c r="P159" i="6"/>
  <c r="U159" i="6"/>
  <c r="M159" i="6"/>
  <c r="N159" i="6"/>
  <c r="O203" i="6"/>
  <c r="P203" i="6"/>
  <c r="U203" i="6"/>
  <c r="N203" i="6"/>
  <c r="M203" i="6"/>
  <c r="T203" i="6"/>
  <c r="S203" i="6"/>
  <c r="Q203" i="6"/>
  <c r="R203" i="6"/>
  <c r="T53" i="6"/>
  <c r="U53" i="6"/>
  <c r="S53" i="6"/>
  <c r="M53" i="6"/>
  <c r="O53" i="6"/>
  <c r="N53" i="6"/>
  <c r="R53" i="6"/>
  <c r="P53" i="6"/>
  <c r="Q53" i="6"/>
  <c r="P164" i="6"/>
  <c r="T164" i="6"/>
  <c r="R164" i="6"/>
  <c r="N164" i="6"/>
  <c r="U164" i="6"/>
  <c r="M164" i="6"/>
  <c r="S164" i="6"/>
  <c r="O164" i="6"/>
  <c r="Q164" i="6"/>
  <c r="P78" i="6"/>
  <c r="R78" i="6"/>
  <c r="N78" i="6"/>
  <c r="O78" i="6"/>
  <c r="S78" i="6"/>
  <c r="Q78" i="6"/>
  <c r="M78" i="6"/>
  <c r="T78" i="6"/>
  <c r="U78" i="6"/>
  <c r="T65" i="6"/>
  <c r="P65" i="6"/>
  <c r="R65" i="6"/>
  <c r="S65" i="6"/>
  <c r="U65" i="6"/>
  <c r="Q65" i="6"/>
  <c r="N65" i="6"/>
  <c r="O65" i="6"/>
  <c r="M65" i="6"/>
  <c r="T135" i="6"/>
  <c r="U135" i="6"/>
  <c r="O135" i="6"/>
  <c r="S135" i="6"/>
  <c r="M135" i="6"/>
  <c r="P135" i="6"/>
  <c r="Q135" i="6"/>
  <c r="R135" i="6"/>
  <c r="N135" i="6"/>
  <c r="U179" i="6"/>
  <c r="M179" i="6"/>
  <c r="O179" i="6"/>
  <c r="N179" i="6"/>
  <c r="S179" i="6"/>
  <c r="P179" i="6"/>
  <c r="T179" i="6"/>
  <c r="Q179" i="6"/>
  <c r="R179" i="6"/>
  <c r="T268" i="6"/>
  <c r="Q268" i="6"/>
  <c r="M268" i="6"/>
  <c r="O268" i="6"/>
  <c r="R268" i="6"/>
  <c r="S268" i="6"/>
  <c r="N268" i="6"/>
  <c r="U268" i="6"/>
  <c r="P268" i="6"/>
  <c r="N140" i="6"/>
  <c r="O140" i="6"/>
  <c r="Q140" i="6"/>
  <c r="T140" i="6"/>
  <c r="S140" i="6"/>
  <c r="U140" i="6"/>
  <c r="M140" i="6"/>
  <c r="P140" i="6"/>
  <c r="R140" i="6"/>
  <c r="R245" i="6"/>
  <c r="O245" i="6"/>
  <c r="P245" i="6"/>
  <c r="N245" i="6"/>
  <c r="M245" i="6"/>
  <c r="S245" i="6"/>
  <c r="U245" i="6"/>
  <c r="T245" i="6"/>
  <c r="Q245" i="6"/>
  <c r="O41" i="6"/>
  <c r="R41" i="6"/>
  <c r="P41" i="6"/>
  <c r="M41" i="6"/>
  <c r="N41" i="6"/>
  <c r="Q41" i="6"/>
  <c r="U41" i="6"/>
  <c r="S41" i="6"/>
  <c r="T41" i="6"/>
  <c r="P111" i="6"/>
  <c r="M111" i="6"/>
  <c r="N111" i="6"/>
  <c r="Q111" i="6"/>
  <c r="S111" i="6"/>
  <c r="T111" i="6"/>
  <c r="O111" i="6"/>
  <c r="R111" i="6"/>
  <c r="U111" i="6"/>
  <c r="J273" i="4"/>
  <c r="J278" i="4"/>
  <c r="J279" i="4"/>
  <c r="K273" i="4"/>
  <c r="H274" i="4"/>
  <c r="I274" i="4"/>
  <c r="J274" i="4"/>
  <c r="K280" i="4"/>
  <c r="I279" i="4"/>
  <c r="J272" i="4"/>
  <c r="H280" i="4"/>
  <c r="K278" i="4"/>
  <c r="K274" i="4"/>
  <c r="I280" i="4"/>
  <c r="K272" i="4"/>
  <c r="J280" i="4"/>
  <c r="H278" i="4"/>
  <c r="I275" i="4"/>
  <c r="I281" i="4"/>
  <c r="I272" i="4"/>
  <c r="I278" i="4"/>
  <c r="J281" i="4"/>
  <c r="I277" i="4"/>
  <c r="K281" i="4"/>
  <c r="K276" i="4"/>
  <c r="H272" i="4"/>
  <c r="J277" i="4"/>
  <c r="H273" i="4"/>
  <c r="H279" i="4"/>
  <c r="I273" i="4"/>
  <c r="J275" i="4"/>
  <c r="H275" i="4"/>
  <c r="H281" i="4"/>
  <c r="K277" i="4"/>
  <c r="I276" i="4"/>
  <c r="K275" i="4"/>
  <c r="K279" i="4"/>
  <c r="H276" i="4"/>
  <c r="J276" i="4"/>
  <c r="H277" i="4"/>
  <c r="N155" i="6"/>
  <c r="S155" i="6"/>
  <c r="M155" i="6"/>
  <c r="P155" i="6"/>
  <c r="Q155" i="6"/>
  <c r="R155" i="6"/>
  <c r="T155" i="6"/>
  <c r="U155" i="6"/>
  <c r="O155" i="6"/>
  <c r="R172" i="6"/>
  <c r="S172" i="6"/>
  <c r="P172" i="6"/>
  <c r="U172" i="6"/>
  <c r="M172" i="6"/>
  <c r="N172" i="6"/>
  <c r="O172" i="6"/>
  <c r="T172" i="6"/>
  <c r="Q172" i="6"/>
  <c r="O116" i="6"/>
  <c r="Q116" i="6"/>
  <c r="S116" i="6"/>
  <c r="R116" i="6"/>
  <c r="U116" i="6"/>
  <c r="N116" i="6"/>
  <c r="P116" i="6"/>
  <c r="M116" i="6"/>
  <c r="T116" i="6"/>
  <c r="U234" i="6"/>
  <c r="O234" i="6"/>
  <c r="P234" i="6"/>
  <c r="Q234" i="6"/>
  <c r="M234" i="6"/>
  <c r="R234" i="6"/>
  <c r="S234" i="6"/>
  <c r="T234" i="6"/>
  <c r="N234" i="6"/>
  <c r="N238" i="6"/>
  <c r="Q238" i="6"/>
  <c r="P238" i="6"/>
  <c r="S238" i="6"/>
  <c r="O238" i="6"/>
  <c r="R238" i="6"/>
  <c r="T238" i="6"/>
  <c r="U238" i="6"/>
  <c r="M238" i="6"/>
  <c r="M222" i="6"/>
  <c r="Q222" i="6"/>
  <c r="U222" i="6"/>
  <c r="O222" i="6"/>
  <c r="P222" i="6"/>
  <c r="N222" i="6"/>
  <c r="S222" i="6"/>
  <c r="R222" i="6"/>
  <c r="T222" i="6"/>
  <c r="U79" i="6"/>
  <c r="M79" i="6"/>
  <c r="N79" i="6"/>
  <c r="O79" i="6"/>
  <c r="S79" i="6"/>
  <c r="P79" i="6"/>
  <c r="Q79" i="6"/>
  <c r="R79" i="6"/>
  <c r="T79" i="6"/>
  <c r="T142" i="6"/>
  <c r="N142" i="6"/>
  <c r="R142" i="6"/>
  <c r="S142" i="6"/>
  <c r="O142" i="6"/>
  <c r="P142" i="6"/>
  <c r="M142" i="6"/>
  <c r="U142" i="6"/>
  <c r="Q142" i="6"/>
  <c r="T210" i="6"/>
  <c r="S210" i="6"/>
  <c r="O210" i="6"/>
  <c r="N210" i="6"/>
  <c r="M210" i="6"/>
  <c r="U210" i="6"/>
  <c r="P210" i="6"/>
  <c r="Q210" i="6"/>
  <c r="R210" i="6"/>
  <c r="N29" i="6"/>
  <c r="M29" i="6"/>
  <c r="U29" i="6"/>
  <c r="R29" i="6"/>
  <c r="O29" i="6"/>
  <c r="Q29" i="6"/>
  <c r="P29" i="6"/>
  <c r="T29" i="6"/>
  <c r="S29" i="6"/>
  <c r="R280" i="6"/>
  <c r="U280" i="6"/>
  <c r="S280" i="6"/>
  <c r="Q280" i="6"/>
  <c r="M280" i="6"/>
  <c r="N280" i="6"/>
  <c r="O280" i="6"/>
  <c r="P280" i="6"/>
  <c r="T280" i="6"/>
  <c r="Q126" i="6"/>
  <c r="O126" i="6"/>
  <c r="R126" i="6"/>
  <c r="S126" i="6"/>
  <c r="T126" i="6"/>
  <c r="U126" i="6"/>
  <c r="N126" i="6"/>
  <c r="P126" i="6"/>
  <c r="M126" i="6"/>
  <c r="M198" i="6"/>
  <c r="O198" i="6"/>
  <c r="P198" i="6"/>
  <c r="S198" i="6"/>
  <c r="U198" i="6"/>
  <c r="Q198" i="6"/>
  <c r="R198" i="6"/>
  <c r="T198" i="6"/>
  <c r="N198" i="6"/>
  <c r="Q118" i="6"/>
  <c r="M118" i="6"/>
  <c r="T118" i="6"/>
  <c r="U118" i="6"/>
  <c r="R118" i="6"/>
  <c r="S118" i="6"/>
  <c r="O118" i="6"/>
  <c r="P118" i="6"/>
  <c r="N118" i="6"/>
  <c r="M186" i="6"/>
  <c r="Q186" i="6"/>
  <c r="R186" i="6"/>
  <c r="N186" i="6"/>
  <c r="O186" i="6"/>
  <c r="U186" i="6"/>
  <c r="P186" i="6"/>
  <c r="S186" i="6"/>
  <c r="T186" i="6"/>
  <c r="M46" i="6"/>
  <c r="N46" i="6"/>
  <c r="O46" i="6"/>
  <c r="R46" i="6"/>
  <c r="P46" i="6"/>
  <c r="Q46" i="6"/>
  <c r="U46" i="6"/>
  <c r="T46" i="6"/>
  <c r="S46" i="6"/>
  <c r="N256" i="6"/>
  <c r="O256" i="6"/>
  <c r="T256" i="6"/>
  <c r="M256" i="6"/>
  <c r="Q256" i="6"/>
  <c r="R256" i="6"/>
  <c r="S256" i="6"/>
  <c r="U256" i="6"/>
  <c r="P256" i="6"/>
  <c r="S39" i="6"/>
  <c r="O39" i="6"/>
  <c r="P39" i="6"/>
  <c r="T39" i="6"/>
  <c r="U39" i="6"/>
  <c r="R39" i="6"/>
  <c r="Q39" i="6"/>
  <c r="N39" i="6"/>
  <c r="M39" i="6"/>
  <c r="K293" i="4"/>
  <c r="H297" i="4"/>
  <c r="H294" i="4"/>
  <c r="I297" i="4"/>
  <c r="I294" i="4"/>
  <c r="K297" i="4"/>
  <c r="H298" i="4"/>
  <c r="J298" i="4"/>
  <c r="I298" i="4"/>
  <c r="H292" i="4"/>
  <c r="H296" i="4"/>
  <c r="I292" i="4"/>
  <c r="I296" i="4"/>
  <c r="I300" i="4"/>
  <c r="J300" i="4"/>
  <c r="J297" i="4"/>
  <c r="K294" i="4"/>
  <c r="K292" i="4"/>
  <c r="H300" i="4"/>
  <c r="H293" i="4"/>
  <c r="J294" i="4"/>
  <c r="H295" i="4"/>
  <c r="J301" i="4"/>
  <c r="I293" i="4"/>
  <c r="J293" i="4"/>
  <c r="K296" i="4"/>
  <c r="K300" i="4"/>
  <c r="H301" i="4"/>
  <c r="I301" i="4"/>
  <c r="J295" i="4"/>
  <c r="J296" i="4"/>
  <c r="K301" i="4"/>
  <c r="K295" i="4"/>
  <c r="J292" i="4"/>
  <c r="K298" i="4"/>
  <c r="H299" i="4"/>
  <c r="I299" i="4"/>
  <c r="J299" i="4"/>
  <c r="K299" i="4"/>
  <c r="I295" i="4"/>
  <c r="T59" i="6"/>
  <c r="U59" i="6"/>
  <c r="M59" i="6"/>
  <c r="N59" i="6"/>
  <c r="O59" i="6"/>
  <c r="P59" i="6"/>
  <c r="Q59" i="6"/>
  <c r="S59" i="6"/>
  <c r="R59" i="6"/>
  <c r="S221" i="6"/>
  <c r="U221" i="6"/>
  <c r="P221" i="6"/>
  <c r="T221" i="6"/>
  <c r="N221" i="6"/>
  <c r="Q221" i="6"/>
  <c r="M221" i="6"/>
  <c r="O221" i="6"/>
  <c r="R221" i="6"/>
  <c r="Q51" i="6"/>
  <c r="S51" i="6"/>
  <c r="T51" i="6"/>
  <c r="M51" i="6"/>
  <c r="N51" i="6"/>
  <c r="U51" i="6"/>
  <c r="O51" i="6"/>
  <c r="R51" i="6"/>
  <c r="P51" i="6"/>
  <c r="N22" i="6"/>
  <c r="P22" i="6"/>
  <c r="S22" i="6"/>
  <c r="U22" i="6"/>
  <c r="M22" i="6"/>
  <c r="T22" i="6"/>
  <c r="R22" i="6"/>
  <c r="O22" i="6"/>
  <c r="Q22" i="6"/>
  <c r="O20" i="6"/>
  <c r="P20" i="6"/>
  <c r="M20" i="6"/>
  <c r="Q20" i="6"/>
  <c r="R20" i="6"/>
  <c r="U20" i="6"/>
  <c r="N20" i="6"/>
  <c r="S20" i="6"/>
  <c r="T20" i="6"/>
  <c r="Q138" i="6"/>
  <c r="U138" i="6"/>
  <c r="O138" i="6"/>
  <c r="N138" i="6"/>
  <c r="P138" i="6"/>
  <c r="M138" i="6"/>
  <c r="T138" i="6"/>
  <c r="R138" i="6"/>
  <c r="S138" i="6"/>
  <c r="Q28" i="6"/>
  <c r="N28" i="6"/>
  <c r="P28" i="6"/>
  <c r="S28" i="6"/>
  <c r="R28" i="6"/>
  <c r="U28" i="6"/>
  <c r="T28" i="6"/>
  <c r="M28" i="6"/>
  <c r="O28" i="6"/>
  <c r="R259" i="6"/>
  <c r="O259" i="6"/>
  <c r="P259" i="6"/>
  <c r="M259" i="6"/>
  <c r="S259" i="6"/>
  <c r="T259" i="6"/>
  <c r="U259" i="6"/>
  <c r="Q259" i="6"/>
  <c r="N259" i="6"/>
  <c r="Q208" i="6"/>
  <c r="M208" i="6"/>
  <c r="N208" i="6"/>
  <c r="P208" i="6"/>
  <c r="S208" i="6"/>
  <c r="U208" i="6"/>
  <c r="O208" i="6"/>
  <c r="R208" i="6"/>
  <c r="T208" i="6"/>
  <c r="Q101" i="6"/>
  <c r="S101" i="6"/>
  <c r="N101" i="6"/>
  <c r="P101" i="6"/>
  <c r="U101" i="6"/>
  <c r="T101" i="6"/>
  <c r="R101" i="6"/>
  <c r="M101" i="6"/>
  <c r="O101" i="6"/>
  <c r="R278" i="6"/>
  <c r="M278" i="6"/>
  <c r="N278" i="6"/>
  <c r="Q278" i="6"/>
  <c r="S278" i="6"/>
  <c r="O278" i="6"/>
  <c r="P278" i="6"/>
  <c r="T278" i="6"/>
  <c r="U278" i="6"/>
  <c r="R13" i="6"/>
  <c r="Q13" i="6"/>
  <c r="N13" i="6"/>
  <c r="S13" i="6"/>
  <c r="O13" i="6"/>
  <c r="T13" i="6"/>
  <c r="U13" i="6"/>
  <c r="P13" i="6"/>
  <c r="M13" i="6"/>
  <c r="U300" i="6"/>
  <c r="O300" i="6"/>
  <c r="M300" i="6"/>
  <c r="S300" i="6"/>
  <c r="R300" i="6"/>
  <c r="Q300" i="6"/>
  <c r="N300" i="6"/>
  <c r="T300" i="6"/>
  <c r="P300" i="6"/>
  <c r="R276" i="6"/>
  <c r="S276" i="6"/>
  <c r="T276" i="6"/>
  <c r="U276" i="6"/>
  <c r="M276" i="6"/>
  <c r="O276" i="6"/>
  <c r="P276" i="6"/>
  <c r="Q276" i="6"/>
  <c r="N276" i="6"/>
  <c r="P252" i="6"/>
  <c r="Q252" i="6"/>
  <c r="N252" i="6"/>
  <c r="R252" i="6"/>
  <c r="T252" i="6"/>
  <c r="U252" i="6"/>
  <c r="O252" i="6"/>
  <c r="S252" i="6"/>
  <c r="M252" i="6"/>
  <c r="P228" i="6"/>
  <c r="S228" i="6"/>
  <c r="R228" i="6"/>
  <c r="M228" i="6"/>
  <c r="N228" i="6"/>
  <c r="T228" i="6"/>
  <c r="Q228" i="6"/>
  <c r="U228" i="6"/>
  <c r="O228" i="6"/>
  <c r="T204" i="6"/>
  <c r="Q204" i="6"/>
  <c r="N204" i="6"/>
  <c r="O204" i="6"/>
  <c r="M204" i="6"/>
  <c r="S204" i="6"/>
  <c r="U204" i="6"/>
  <c r="P204" i="6"/>
  <c r="R204" i="6"/>
  <c r="U180" i="6"/>
  <c r="M180" i="6"/>
  <c r="S180" i="6"/>
  <c r="O180" i="6"/>
  <c r="P180" i="6"/>
  <c r="R180" i="6"/>
  <c r="T180" i="6"/>
  <c r="Q180" i="6"/>
  <c r="N180" i="6"/>
  <c r="T156" i="6"/>
  <c r="S156" i="6"/>
  <c r="N156" i="6"/>
  <c r="M156" i="6"/>
  <c r="Q156" i="6"/>
  <c r="R156" i="6"/>
  <c r="P156" i="6"/>
  <c r="O156" i="6"/>
  <c r="U156" i="6"/>
  <c r="R132" i="6"/>
  <c r="S132" i="6"/>
  <c r="M132" i="6"/>
  <c r="P132" i="6"/>
  <c r="O132" i="6"/>
  <c r="N132" i="6"/>
  <c r="Q132" i="6"/>
  <c r="T132" i="6"/>
  <c r="U132" i="6"/>
  <c r="N108" i="6"/>
  <c r="O108" i="6"/>
  <c r="P108" i="6"/>
  <c r="T108" i="6"/>
  <c r="U108" i="6"/>
  <c r="M108" i="6"/>
  <c r="S108" i="6"/>
  <c r="Q108" i="6"/>
  <c r="R108" i="6"/>
  <c r="R114" i="6"/>
  <c r="U114" i="6"/>
  <c r="T114" i="6"/>
  <c r="O114" i="6"/>
  <c r="P114" i="6"/>
  <c r="S114" i="6"/>
  <c r="M114" i="6"/>
  <c r="N114" i="6"/>
  <c r="Q114" i="6"/>
  <c r="R230" i="6"/>
  <c r="P230" i="6"/>
  <c r="T230" i="6"/>
  <c r="M230" i="6"/>
  <c r="O230" i="6"/>
  <c r="N230" i="6"/>
  <c r="Q230" i="6"/>
  <c r="S230" i="6"/>
  <c r="U230" i="6"/>
  <c r="Q146" i="6"/>
  <c r="R146" i="6"/>
  <c r="T146" i="6"/>
  <c r="O146" i="6"/>
  <c r="U146" i="6"/>
  <c r="P146" i="6"/>
  <c r="N146" i="6"/>
  <c r="M146" i="6"/>
  <c r="S146" i="6"/>
  <c r="N84" i="6"/>
  <c r="P84" i="6"/>
  <c r="Q84" i="6"/>
  <c r="S84" i="6"/>
  <c r="U84" i="6"/>
  <c r="R84" i="6"/>
  <c r="T84" i="6"/>
  <c r="O84" i="6"/>
  <c r="M84" i="6"/>
  <c r="U77" i="6"/>
  <c r="R77" i="6"/>
  <c r="M77" i="6"/>
  <c r="S77" i="6"/>
  <c r="Q77" i="6"/>
  <c r="N77" i="6"/>
  <c r="O77" i="6"/>
  <c r="P77" i="6"/>
  <c r="T77" i="6"/>
  <c r="O248" i="6"/>
  <c r="P248" i="6"/>
  <c r="Q248" i="6"/>
  <c r="N248" i="6"/>
  <c r="M248" i="6"/>
  <c r="S248" i="6"/>
  <c r="T248" i="6"/>
  <c r="R248" i="6"/>
  <c r="U248" i="6"/>
  <c r="O292" i="6"/>
  <c r="P292" i="6"/>
  <c r="Q292" i="6"/>
  <c r="S292" i="6"/>
  <c r="M292" i="6"/>
  <c r="R292" i="6"/>
  <c r="U292" i="6"/>
  <c r="N292" i="6"/>
  <c r="T292" i="6"/>
  <c r="P298" i="6"/>
  <c r="M298" i="6"/>
  <c r="Q298" i="6"/>
  <c r="O298" i="6"/>
  <c r="N298" i="6"/>
  <c r="U298" i="6"/>
  <c r="R298" i="6"/>
  <c r="S298" i="6"/>
  <c r="T298" i="6"/>
  <c r="M261" i="6"/>
  <c r="T261" i="6"/>
  <c r="P261" i="6"/>
  <c r="O261" i="6"/>
  <c r="Q261" i="6"/>
  <c r="N261" i="6"/>
  <c r="R261" i="6"/>
  <c r="S261" i="6"/>
  <c r="U261" i="6"/>
  <c r="O90" i="6"/>
  <c r="M90" i="6"/>
  <c r="Q90" i="6"/>
  <c r="P90" i="6"/>
  <c r="R90" i="6"/>
  <c r="S90" i="6"/>
  <c r="U90" i="6"/>
  <c r="T90" i="6"/>
  <c r="N90" i="6"/>
  <c r="S160" i="6"/>
  <c r="T160" i="6"/>
  <c r="P160" i="6"/>
  <c r="U160" i="6"/>
  <c r="O160" i="6"/>
  <c r="Q160" i="6"/>
  <c r="R160" i="6"/>
  <c r="M160" i="6"/>
  <c r="N160" i="6"/>
  <c r="S274" i="6"/>
  <c r="M274" i="6"/>
  <c r="R274" i="6"/>
  <c r="O274" i="6"/>
  <c r="N274" i="6"/>
  <c r="T274" i="6"/>
  <c r="P274" i="6"/>
  <c r="Q274" i="6"/>
  <c r="U274" i="6"/>
  <c r="T66" i="6"/>
  <c r="N66" i="6"/>
  <c r="U66" i="6"/>
  <c r="S66" i="6"/>
  <c r="O66" i="6"/>
  <c r="M66" i="6"/>
  <c r="P66" i="6"/>
  <c r="R66" i="6"/>
  <c r="Q66" i="6"/>
  <c r="U76" i="6"/>
  <c r="M76" i="6"/>
  <c r="N76" i="6"/>
  <c r="R76" i="6"/>
  <c r="O76" i="6"/>
  <c r="Q76" i="6"/>
  <c r="P76" i="6"/>
  <c r="T76" i="6"/>
  <c r="S76" i="6"/>
  <c r="N42" i="6"/>
  <c r="O42" i="6"/>
  <c r="S42" i="6"/>
  <c r="M42" i="6"/>
  <c r="R42" i="6"/>
  <c r="T42" i="6"/>
  <c r="P42" i="6"/>
  <c r="Q42" i="6"/>
  <c r="U42" i="6"/>
  <c r="N60" i="6"/>
  <c r="O60" i="6"/>
  <c r="P60" i="6"/>
  <c r="S60" i="6"/>
  <c r="R60" i="6"/>
  <c r="T60" i="6"/>
  <c r="M60" i="6"/>
  <c r="Q60" i="6"/>
  <c r="U60" i="6"/>
  <c r="U36" i="6"/>
  <c r="Q36" i="6"/>
  <c r="O36" i="6"/>
  <c r="M36" i="6"/>
  <c r="P36" i="6"/>
  <c r="S36" i="6"/>
  <c r="R36" i="6"/>
  <c r="T36" i="6"/>
  <c r="N36" i="6"/>
  <c r="U285" i="6"/>
  <c r="O285" i="6"/>
  <c r="Q285" i="6"/>
  <c r="S285" i="6"/>
  <c r="T285" i="6"/>
  <c r="M285" i="6"/>
  <c r="P285" i="6"/>
  <c r="N285" i="6"/>
  <c r="R285" i="6"/>
  <c r="M184" i="6"/>
  <c r="O184" i="6"/>
  <c r="Q184" i="6"/>
  <c r="N184" i="6"/>
  <c r="T184" i="6"/>
  <c r="P184" i="6"/>
  <c r="R184" i="6"/>
  <c r="S184" i="6"/>
  <c r="U184" i="6"/>
  <c r="M2" i="6"/>
  <c r="N2" i="6"/>
  <c r="O2" i="6"/>
  <c r="P2" i="6"/>
  <c r="Q2" i="6"/>
  <c r="R2" i="6"/>
  <c r="S2" i="6"/>
  <c r="T2" i="6"/>
  <c r="U2" i="6"/>
  <c r="S170" i="6"/>
  <c r="T170" i="6"/>
  <c r="O170" i="6"/>
  <c r="M170" i="6"/>
  <c r="N170" i="6"/>
  <c r="U170" i="6"/>
  <c r="R170" i="6"/>
  <c r="Q170" i="6"/>
  <c r="P170" i="6"/>
  <c r="N129" i="6"/>
  <c r="T129" i="6"/>
  <c r="U129" i="6"/>
  <c r="M129" i="6"/>
  <c r="O129" i="6"/>
  <c r="P129" i="6"/>
  <c r="R129" i="6"/>
  <c r="Q129" i="6"/>
  <c r="S129" i="6"/>
  <c r="O196" i="6"/>
  <c r="R196" i="6"/>
  <c r="T196" i="6"/>
  <c r="M196" i="6"/>
  <c r="N196" i="6"/>
  <c r="P196" i="6"/>
  <c r="Q196" i="6"/>
  <c r="S196" i="6"/>
  <c r="U196" i="6"/>
  <c r="T6" i="6"/>
  <c r="Q6" i="6"/>
  <c r="U6" i="6"/>
  <c r="N6" i="6"/>
  <c r="S6" i="6"/>
  <c r="M6" i="6"/>
  <c r="O6" i="6"/>
  <c r="P6" i="6"/>
  <c r="R6" i="6"/>
  <c r="R237" i="6"/>
  <c r="S237" i="6"/>
  <c r="U237" i="6"/>
  <c r="O237" i="6"/>
  <c r="P237" i="6"/>
  <c r="Q237" i="6"/>
  <c r="N237" i="6"/>
  <c r="M237" i="6"/>
  <c r="T237" i="6"/>
  <c r="M163" i="6"/>
  <c r="S163" i="6"/>
  <c r="O163" i="6"/>
  <c r="U163" i="6"/>
  <c r="N163" i="6"/>
  <c r="R163" i="6"/>
  <c r="Q163" i="6"/>
  <c r="T163" i="6"/>
  <c r="P163" i="6"/>
  <c r="Q291" i="6"/>
  <c r="O291" i="6"/>
  <c r="S291" i="6"/>
  <c r="T291" i="6"/>
  <c r="R291" i="6"/>
  <c r="P291" i="6"/>
  <c r="U291" i="6"/>
  <c r="M291" i="6"/>
  <c r="N291" i="6"/>
  <c r="T213" i="6"/>
  <c r="R213" i="6"/>
  <c r="S213" i="6"/>
  <c r="N213" i="6"/>
  <c r="Q213" i="6"/>
  <c r="U213" i="6"/>
  <c r="O213" i="6"/>
  <c r="M213" i="6"/>
  <c r="P213" i="6"/>
  <c r="S139" i="6"/>
  <c r="O139" i="6"/>
  <c r="M139" i="6"/>
  <c r="N139" i="6"/>
  <c r="R139" i="6"/>
  <c r="T139" i="6"/>
  <c r="P139" i="6"/>
  <c r="Q139" i="6"/>
  <c r="U139" i="6"/>
  <c r="S182" i="6"/>
  <c r="U182" i="6"/>
  <c r="O182" i="6"/>
  <c r="M182" i="6"/>
  <c r="Q182" i="6"/>
  <c r="T182" i="6"/>
  <c r="N182" i="6"/>
  <c r="P182" i="6"/>
  <c r="R182" i="6"/>
  <c r="M10" i="6"/>
  <c r="O10" i="6"/>
  <c r="U10" i="6"/>
  <c r="P10" i="6"/>
  <c r="Q10" i="6"/>
  <c r="S10" i="6"/>
  <c r="N10" i="6"/>
  <c r="R10" i="6"/>
  <c r="T10" i="6"/>
  <c r="T217" i="6"/>
  <c r="U217" i="6"/>
  <c r="P217" i="6"/>
  <c r="Q217" i="6"/>
  <c r="S217" i="6"/>
  <c r="M217" i="6"/>
  <c r="N217" i="6"/>
  <c r="O217" i="6"/>
  <c r="R217" i="6"/>
  <c r="R18" i="6"/>
  <c r="O18" i="6"/>
  <c r="M18" i="6"/>
  <c r="N18" i="6"/>
  <c r="Q18" i="6"/>
  <c r="P18" i="6"/>
  <c r="S18" i="6"/>
  <c r="T18" i="6"/>
  <c r="U18" i="6"/>
  <c r="P115" i="6"/>
  <c r="Q115" i="6"/>
  <c r="S115" i="6"/>
  <c r="U115" i="6"/>
  <c r="T115" i="6"/>
  <c r="O115" i="6"/>
  <c r="R115" i="6"/>
  <c r="N115" i="6"/>
  <c r="M115" i="6"/>
  <c r="T158" i="6"/>
  <c r="U158" i="6"/>
  <c r="N158" i="6"/>
  <c r="Q158" i="6"/>
  <c r="R158" i="6"/>
  <c r="S158" i="6"/>
  <c r="P158" i="6"/>
  <c r="M158" i="6"/>
  <c r="O158" i="6"/>
  <c r="U8" i="6"/>
  <c r="M8" i="6"/>
  <c r="N8" i="6"/>
  <c r="S8" i="6"/>
  <c r="T8" i="6"/>
  <c r="O8" i="6"/>
  <c r="R8" i="6"/>
  <c r="Q8" i="6"/>
  <c r="P8" i="6"/>
  <c r="U145" i="6"/>
  <c r="Q145" i="6"/>
  <c r="R145" i="6"/>
  <c r="S145" i="6"/>
  <c r="O145" i="6"/>
  <c r="P145" i="6"/>
  <c r="T145" i="6"/>
  <c r="M145" i="6"/>
  <c r="N145" i="6"/>
  <c r="R297" i="6"/>
  <c r="S297" i="6"/>
  <c r="U297" i="6"/>
  <c r="M297" i="6"/>
  <c r="N297" i="6"/>
  <c r="T297" i="6"/>
  <c r="P297" i="6"/>
  <c r="Q297" i="6"/>
  <c r="O297" i="6"/>
  <c r="O91" i="6"/>
  <c r="S91" i="6"/>
  <c r="R91" i="6"/>
  <c r="T91" i="6"/>
  <c r="P91" i="6"/>
  <c r="U91" i="6"/>
  <c r="N91" i="6"/>
  <c r="M91" i="6"/>
  <c r="Q91" i="6"/>
  <c r="P99" i="6"/>
  <c r="Q99" i="6"/>
  <c r="U99" i="6"/>
  <c r="T99" i="6"/>
  <c r="O99" i="6"/>
  <c r="M99" i="6"/>
  <c r="R99" i="6"/>
  <c r="S99" i="6"/>
  <c r="N99" i="6"/>
  <c r="P4" i="6"/>
  <c r="Q4" i="6"/>
  <c r="R4" i="6"/>
  <c r="N4" i="6"/>
  <c r="S4" i="6"/>
  <c r="T4" i="6"/>
  <c r="M4" i="6"/>
  <c r="O4" i="6"/>
  <c r="U4" i="6"/>
  <c r="R194" i="6"/>
  <c r="U194" i="6"/>
  <c r="O194" i="6"/>
  <c r="M194" i="6"/>
  <c r="T194" i="6"/>
  <c r="P194" i="6"/>
  <c r="Q194" i="6"/>
  <c r="S194" i="6"/>
  <c r="N194" i="6"/>
  <c r="S25" i="6"/>
  <c r="R25" i="6"/>
  <c r="N25" i="6"/>
  <c r="Q25" i="6"/>
  <c r="P25" i="6"/>
  <c r="O25" i="6"/>
  <c r="M25" i="6"/>
  <c r="U25" i="6"/>
  <c r="T25" i="6"/>
  <c r="T141" i="6"/>
  <c r="N141" i="6"/>
  <c r="P141" i="6"/>
  <c r="S141" i="6"/>
  <c r="M141" i="6"/>
  <c r="O141" i="6"/>
  <c r="U141" i="6"/>
  <c r="Q141" i="6"/>
  <c r="R141" i="6"/>
  <c r="S124" i="6"/>
  <c r="U124" i="6"/>
  <c r="T124" i="6"/>
  <c r="R124" i="6"/>
  <c r="Q124" i="6"/>
  <c r="P124" i="6"/>
  <c r="N124" i="6"/>
  <c r="M124" i="6"/>
  <c r="O124" i="6"/>
  <c r="Q225" i="6"/>
  <c r="M225" i="6"/>
  <c r="N225" i="6"/>
  <c r="U225" i="6"/>
  <c r="S225" i="6"/>
  <c r="O225" i="6"/>
  <c r="P225" i="6"/>
  <c r="R225" i="6"/>
  <c r="T225" i="6"/>
  <c r="O193" i="6"/>
  <c r="U193" i="6"/>
  <c r="P193" i="6"/>
  <c r="Q193" i="6"/>
  <c r="R193" i="6"/>
  <c r="N193" i="6"/>
  <c r="S193" i="6"/>
  <c r="T193" i="6"/>
  <c r="M193" i="6"/>
  <c r="M67" i="6"/>
  <c r="T67" i="6"/>
  <c r="N67" i="6"/>
  <c r="O67" i="6"/>
  <c r="P67" i="6"/>
  <c r="U67" i="6"/>
  <c r="R67" i="6"/>
  <c r="Q67" i="6"/>
  <c r="S67" i="6"/>
  <c r="Q40" i="6"/>
  <c r="R40" i="6"/>
  <c r="S40" i="6"/>
  <c r="M40" i="6"/>
  <c r="U40" i="6"/>
  <c r="O40" i="6"/>
  <c r="T40" i="6"/>
  <c r="N40" i="6"/>
  <c r="P40" i="6"/>
  <c r="P290" i="6"/>
  <c r="N290" i="6"/>
  <c r="U290" i="6"/>
  <c r="M290" i="6"/>
  <c r="T290" i="6"/>
  <c r="S290" i="6"/>
  <c r="Q290" i="6"/>
  <c r="O290" i="6"/>
  <c r="R290" i="6"/>
  <c r="O110" i="6"/>
  <c r="N110" i="6"/>
  <c r="P110" i="6"/>
  <c r="T110" i="6"/>
  <c r="M110" i="6"/>
  <c r="S110" i="6"/>
  <c r="U110" i="6"/>
  <c r="R110" i="6"/>
  <c r="Q110" i="6"/>
  <c r="M11" i="6"/>
  <c r="T11" i="6"/>
  <c r="N11" i="6"/>
  <c r="O11" i="6"/>
  <c r="P11" i="6"/>
  <c r="S11" i="6"/>
  <c r="U11" i="6"/>
  <c r="Q11" i="6"/>
  <c r="R11" i="6"/>
  <c r="P154" i="6"/>
  <c r="Q154" i="6"/>
  <c r="U154" i="6"/>
  <c r="M154" i="6"/>
  <c r="N154" i="6"/>
  <c r="O154" i="6"/>
  <c r="S154" i="6"/>
  <c r="R154" i="6"/>
  <c r="T154" i="6"/>
  <c r="N74" i="6"/>
  <c r="Q74" i="6"/>
  <c r="R74" i="6"/>
  <c r="M74" i="6"/>
  <c r="P74" i="6"/>
  <c r="S74" i="6"/>
  <c r="O74" i="6"/>
  <c r="T74" i="6"/>
  <c r="U74" i="6"/>
  <c r="U240" i="6"/>
  <c r="S240" i="6"/>
  <c r="O240" i="6"/>
  <c r="Q240" i="6"/>
  <c r="P240" i="6"/>
  <c r="R240" i="6"/>
  <c r="T240" i="6"/>
  <c r="M240" i="6"/>
  <c r="N240" i="6"/>
  <c r="S117" i="6"/>
  <c r="R117" i="6"/>
  <c r="U117" i="6"/>
  <c r="T117" i="6"/>
  <c r="P117" i="6"/>
  <c r="O117" i="6"/>
  <c r="Q117" i="6"/>
  <c r="M117" i="6"/>
  <c r="N117" i="6"/>
  <c r="R123" i="6"/>
  <c r="T123" i="6"/>
  <c r="N123" i="6"/>
  <c r="O123" i="6"/>
  <c r="M123" i="6"/>
  <c r="S123" i="6"/>
  <c r="U123" i="6"/>
  <c r="Q123" i="6"/>
  <c r="P123" i="6"/>
  <c r="U153" i="6"/>
  <c r="N153" i="6"/>
  <c r="P153" i="6"/>
  <c r="S153" i="6"/>
  <c r="T153" i="6"/>
  <c r="R153" i="6"/>
  <c r="Q153" i="6"/>
  <c r="O153" i="6"/>
  <c r="M153" i="6"/>
  <c r="T121" i="6"/>
  <c r="O121" i="6"/>
  <c r="P121" i="6"/>
  <c r="Q121" i="6"/>
  <c r="N121" i="6"/>
  <c r="S121" i="6"/>
  <c r="M121" i="6"/>
  <c r="R121" i="6"/>
  <c r="U121" i="6"/>
  <c r="M19" i="6"/>
  <c r="T19" i="6"/>
  <c r="S19" i="6"/>
  <c r="R19" i="6"/>
  <c r="P19" i="6"/>
  <c r="N19" i="6"/>
  <c r="O19" i="6"/>
  <c r="Q19" i="6"/>
  <c r="U19" i="6"/>
  <c r="P16" i="6"/>
  <c r="O16" i="6"/>
  <c r="N16" i="6"/>
  <c r="M16" i="6"/>
  <c r="S16" i="6"/>
  <c r="Q16" i="6"/>
  <c r="R16" i="6"/>
  <c r="T16" i="6"/>
  <c r="U16" i="6"/>
  <c r="R218" i="6"/>
  <c r="O218" i="6"/>
  <c r="S218" i="6"/>
  <c r="T218" i="6"/>
  <c r="N218" i="6"/>
  <c r="P218" i="6"/>
  <c r="Q218" i="6"/>
  <c r="U218" i="6"/>
  <c r="M218" i="6"/>
  <c r="T86" i="6"/>
  <c r="Q86" i="6"/>
  <c r="S86" i="6"/>
  <c r="P86" i="6"/>
  <c r="R86" i="6"/>
  <c r="N86" i="6"/>
  <c r="U86" i="6"/>
  <c r="O86" i="6"/>
  <c r="M86" i="6"/>
  <c r="S9" i="6"/>
  <c r="M9" i="6"/>
  <c r="U9" i="6"/>
  <c r="R9" i="6"/>
  <c r="Q9" i="6"/>
  <c r="T9" i="6"/>
  <c r="O9" i="6"/>
  <c r="N9" i="6"/>
  <c r="P9" i="6"/>
  <c r="S130" i="6"/>
  <c r="N130" i="6"/>
  <c r="Q130" i="6"/>
  <c r="R130" i="6"/>
  <c r="M130" i="6"/>
  <c r="U130" i="6"/>
  <c r="O130" i="6"/>
  <c r="T130" i="6"/>
  <c r="P130" i="6"/>
  <c r="P97" i="6"/>
  <c r="R97" i="6"/>
  <c r="M97" i="6"/>
  <c r="U97" i="6"/>
  <c r="O97" i="6"/>
  <c r="Q97" i="6"/>
  <c r="T97" i="6"/>
  <c r="S97" i="6"/>
  <c r="N97" i="6"/>
  <c r="N216" i="6"/>
  <c r="T216" i="6"/>
  <c r="O216" i="6"/>
  <c r="R216" i="6"/>
  <c r="S216" i="6"/>
  <c r="P216" i="6"/>
  <c r="M216" i="6"/>
  <c r="Q216" i="6"/>
  <c r="U216" i="6"/>
  <c r="P93" i="6"/>
  <c r="T93" i="6"/>
  <c r="R93" i="6"/>
  <c r="M93" i="6"/>
  <c r="N93" i="6"/>
  <c r="O93" i="6"/>
  <c r="Q93" i="6"/>
  <c r="U93" i="6"/>
  <c r="S93" i="6"/>
  <c r="Q122" i="6"/>
  <c r="U122" i="6"/>
  <c r="T122" i="6"/>
  <c r="R122" i="6"/>
  <c r="O122" i="6"/>
  <c r="M122" i="6"/>
  <c r="N122" i="6"/>
  <c r="P122" i="6"/>
  <c r="S122" i="6"/>
  <c r="P33" i="6"/>
  <c r="S33" i="6"/>
  <c r="N33" i="6"/>
  <c r="M33" i="6"/>
  <c r="O33" i="6"/>
  <c r="Q33" i="6"/>
  <c r="T33" i="6"/>
  <c r="R33" i="6"/>
  <c r="U33" i="6"/>
  <c r="M49" i="6"/>
  <c r="T49" i="6"/>
  <c r="U49" i="6"/>
  <c r="R49" i="6"/>
  <c r="S49" i="6"/>
  <c r="P49" i="6"/>
  <c r="Q49" i="6"/>
  <c r="O49" i="6"/>
  <c r="N49" i="6"/>
  <c r="R281" i="6"/>
  <c r="S281" i="6"/>
  <c r="Q281" i="6"/>
  <c r="T281" i="6"/>
  <c r="N281" i="6"/>
  <c r="U281" i="6"/>
  <c r="O281" i="6"/>
  <c r="P281" i="6"/>
  <c r="M281" i="6"/>
  <c r="P57" i="6"/>
  <c r="Q57" i="6"/>
  <c r="S57" i="6"/>
  <c r="U57" i="6"/>
  <c r="R57" i="6"/>
  <c r="T57" i="6"/>
  <c r="M57" i="6"/>
  <c r="O57" i="6"/>
  <c r="N57" i="6"/>
  <c r="T98" i="6"/>
  <c r="U98" i="6"/>
  <c r="O98" i="6"/>
  <c r="M98" i="6"/>
  <c r="P98" i="6"/>
  <c r="S98" i="6"/>
  <c r="R98" i="6"/>
  <c r="Q98" i="6"/>
  <c r="N98" i="6"/>
  <c r="U62" i="6"/>
  <c r="S62" i="6"/>
  <c r="P62" i="6"/>
  <c r="O62" i="6"/>
  <c r="R62" i="6"/>
  <c r="T62" i="6"/>
  <c r="Q62" i="6"/>
  <c r="N62" i="6"/>
  <c r="M62" i="6"/>
  <c r="I287" i="4"/>
  <c r="K290" i="4"/>
  <c r="J287" i="4"/>
  <c r="I283" i="4"/>
  <c r="K287" i="4"/>
  <c r="K284" i="4"/>
  <c r="I285" i="4"/>
  <c r="I290" i="4"/>
  <c r="H284" i="4"/>
  <c r="I291" i="4"/>
  <c r="J290" i="4"/>
  <c r="K291" i="4"/>
  <c r="J289" i="4"/>
  <c r="K286" i="4"/>
  <c r="J291" i="4"/>
  <c r="I288" i="4"/>
  <c r="J288" i="4"/>
  <c r="K282" i="4"/>
  <c r="H289" i="4"/>
  <c r="J285" i="4"/>
  <c r="H282" i="4"/>
  <c r="K288" i="4"/>
  <c r="K289" i="4"/>
  <c r="H290" i="4"/>
  <c r="I284" i="4"/>
  <c r="I282" i="4"/>
  <c r="I289" i="4"/>
  <c r="J282" i="4"/>
  <c r="H283" i="4"/>
  <c r="J284" i="4"/>
  <c r="J283" i="4"/>
  <c r="H288" i="4"/>
  <c r="J286" i="4"/>
  <c r="K283" i="4"/>
  <c r="H285" i="4"/>
  <c r="H291" i="4"/>
  <c r="I286" i="4"/>
  <c r="H287" i="4"/>
  <c r="H286" i="4"/>
  <c r="K285" i="4"/>
  <c r="Q7" i="6"/>
  <c r="R7" i="6"/>
  <c r="S7" i="6"/>
  <c r="T7" i="6"/>
  <c r="N7" i="6"/>
  <c r="M7" i="6"/>
  <c r="O7" i="6"/>
  <c r="P7" i="6"/>
  <c r="U7" i="6"/>
  <c r="O106" i="6"/>
  <c r="P106" i="6"/>
  <c r="T106" i="6"/>
  <c r="U106" i="6"/>
  <c r="R106" i="6"/>
  <c r="S106" i="6"/>
  <c r="M106" i="6"/>
  <c r="N106" i="6"/>
  <c r="Q106" i="6"/>
  <c r="Q167" i="6"/>
  <c r="P167" i="6"/>
  <c r="S167" i="6"/>
  <c r="M167" i="6"/>
  <c r="O167" i="6"/>
  <c r="N167" i="6"/>
  <c r="R167" i="6"/>
  <c r="T167" i="6"/>
  <c r="U167" i="6"/>
  <c r="N168" i="6"/>
  <c r="O168" i="6"/>
  <c r="S168" i="6"/>
  <c r="U168" i="6"/>
  <c r="T168" i="6"/>
  <c r="Q168" i="6"/>
  <c r="R168" i="6"/>
  <c r="P168" i="6"/>
  <c r="M168" i="6"/>
  <c r="S69" i="6"/>
  <c r="O69" i="6"/>
  <c r="P69" i="6"/>
  <c r="M69" i="6"/>
  <c r="T69" i="6"/>
  <c r="N69" i="6"/>
  <c r="U69" i="6"/>
  <c r="Q69" i="6"/>
  <c r="R69" i="6"/>
  <c r="P169" i="6"/>
  <c r="U169" i="6"/>
  <c r="S169" i="6"/>
  <c r="M169" i="6"/>
  <c r="N169" i="6"/>
  <c r="R169" i="6"/>
  <c r="T169" i="6"/>
  <c r="Q169" i="6"/>
  <c r="O169" i="6"/>
  <c r="N200" i="6"/>
  <c r="M200" i="6"/>
  <c r="U200" i="6"/>
  <c r="Q200" i="6"/>
  <c r="R200" i="6"/>
  <c r="S200" i="6"/>
  <c r="T200" i="6"/>
  <c r="O200" i="6"/>
  <c r="P200" i="6"/>
  <c r="Q264" i="6"/>
  <c r="N264" i="6"/>
  <c r="M264" i="6"/>
  <c r="U264" i="6"/>
  <c r="P264" i="6"/>
  <c r="S264" i="6"/>
  <c r="T264" i="6"/>
  <c r="R264" i="6"/>
  <c r="O264" i="6"/>
  <c r="M257" i="6"/>
  <c r="P257" i="6"/>
  <c r="R257" i="6"/>
  <c r="Q257" i="6"/>
  <c r="T257" i="6"/>
  <c r="U257" i="6"/>
  <c r="N257" i="6"/>
  <c r="O257" i="6"/>
  <c r="S257" i="6"/>
  <c r="U272" i="6"/>
  <c r="Q272" i="6"/>
  <c r="M272" i="6"/>
  <c r="R272" i="6"/>
  <c r="O272" i="6"/>
  <c r="P272" i="6"/>
  <c r="N272" i="6"/>
  <c r="S272" i="6"/>
  <c r="T272" i="6"/>
  <c r="T265" i="6"/>
  <c r="N265" i="6"/>
  <c r="Q265" i="6"/>
  <c r="P265" i="6"/>
  <c r="R265" i="6"/>
  <c r="S265" i="6"/>
  <c r="O265" i="6"/>
  <c r="U265" i="6"/>
  <c r="M265" i="6"/>
  <c r="Q38" i="6"/>
  <c r="T38" i="6"/>
  <c r="M38" i="6"/>
  <c r="U38" i="6"/>
  <c r="S38" i="6"/>
  <c r="O38" i="6"/>
  <c r="P38" i="6"/>
  <c r="R38" i="6"/>
  <c r="N38" i="6"/>
  <c r="M3" i="6"/>
  <c r="Q3" i="6"/>
  <c r="R3" i="6"/>
  <c r="P3" i="6"/>
  <c r="S3" i="6"/>
  <c r="U3" i="6"/>
  <c r="T3" i="6"/>
  <c r="O3" i="6"/>
  <c r="N3" i="6"/>
  <c r="T82" i="6"/>
  <c r="O82" i="6"/>
  <c r="Q82" i="6"/>
  <c r="M82" i="6"/>
  <c r="U82" i="6"/>
  <c r="R82" i="6"/>
  <c r="S82" i="6"/>
  <c r="N82" i="6"/>
  <c r="P82" i="6"/>
  <c r="S271" i="6"/>
  <c r="T271" i="6"/>
  <c r="M271" i="6"/>
  <c r="P271" i="6"/>
  <c r="R271" i="6"/>
  <c r="U271" i="6"/>
  <c r="Q271" i="6"/>
  <c r="N271" i="6"/>
  <c r="O271" i="6"/>
  <c r="T120" i="6"/>
  <c r="P120" i="6"/>
  <c r="U120" i="6"/>
  <c r="R120" i="6"/>
  <c r="S120" i="6"/>
  <c r="M120" i="6"/>
  <c r="O120" i="6"/>
  <c r="Q120" i="6"/>
  <c r="N120" i="6"/>
  <c r="P45" i="6"/>
  <c r="R45" i="6"/>
  <c r="S45" i="6"/>
  <c r="T45" i="6"/>
  <c r="U45" i="6"/>
  <c r="N45" i="6"/>
  <c r="O45" i="6"/>
  <c r="M45" i="6"/>
  <c r="Q45" i="6"/>
  <c r="O288" i="6"/>
  <c r="S288" i="6"/>
  <c r="U288" i="6"/>
  <c r="T288" i="6"/>
  <c r="P288" i="6"/>
  <c r="Q288" i="6"/>
  <c r="M288" i="6"/>
  <c r="N288" i="6"/>
  <c r="R288" i="6"/>
  <c r="U152" i="6"/>
  <c r="S152" i="6"/>
  <c r="M152" i="6"/>
  <c r="N152" i="6"/>
  <c r="R152" i="6"/>
  <c r="Q152" i="6"/>
  <c r="P152" i="6"/>
  <c r="O152" i="6"/>
  <c r="T152" i="6"/>
  <c r="N192" i="6"/>
  <c r="O192" i="6"/>
  <c r="P192" i="6"/>
  <c r="T192" i="6"/>
  <c r="S192" i="6"/>
  <c r="Q192" i="6"/>
  <c r="R192" i="6"/>
  <c r="M192" i="6"/>
  <c r="U192" i="6"/>
  <c r="T233" i="6"/>
  <c r="U233" i="6"/>
  <c r="M233" i="6"/>
  <c r="R233" i="6"/>
  <c r="P233" i="6"/>
  <c r="S233" i="6"/>
  <c r="Q233" i="6"/>
  <c r="N233" i="6"/>
  <c r="O233" i="6"/>
  <c r="U104" i="6"/>
  <c r="O104" i="6"/>
  <c r="N104" i="6"/>
  <c r="M104" i="6"/>
  <c r="P104" i="6"/>
  <c r="Q104" i="6"/>
  <c r="S104" i="6"/>
  <c r="R104" i="6"/>
  <c r="T104" i="6"/>
  <c r="O73" i="6"/>
  <c r="Q73" i="6"/>
  <c r="T73" i="6"/>
  <c r="U73" i="6"/>
  <c r="S73" i="6"/>
  <c r="R73" i="6"/>
  <c r="M73" i="6"/>
  <c r="P73" i="6"/>
  <c r="N73" i="6"/>
  <c r="O14" i="6"/>
  <c r="T14" i="6"/>
  <c r="M14" i="6"/>
  <c r="S14" i="6"/>
  <c r="U14" i="6"/>
  <c r="R14" i="6"/>
  <c r="Q14" i="6"/>
  <c r="N14" i="6"/>
  <c r="P14" i="6"/>
  <c r="U151" i="6"/>
  <c r="S151" i="6"/>
  <c r="R151" i="6"/>
  <c r="P151" i="6"/>
  <c r="O151" i="6"/>
  <c r="Q151" i="6"/>
  <c r="M151" i="6"/>
  <c r="N151" i="6"/>
  <c r="T151" i="6"/>
  <c r="U58" i="6"/>
  <c r="P58" i="6"/>
  <c r="T58" i="6"/>
  <c r="M58" i="6"/>
  <c r="N58" i="6"/>
  <c r="S58" i="6"/>
  <c r="Q58" i="6"/>
  <c r="R58" i="6"/>
  <c r="O58" i="6"/>
  <c r="Q175" i="6"/>
  <c r="S175" i="6"/>
  <c r="U175" i="6"/>
  <c r="O175" i="6"/>
  <c r="N175" i="6"/>
  <c r="P175" i="6"/>
  <c r="T175" i="6"/>
  <c r="R175" i="6"/>
  <c r="M175" i="6"/>
  <c r="P48" i="6"/>
  <c r="M48" i="6"/>
  <c r="S48" i="6"/>
  <c r="T48" i="6"/>
  <c r="Q48" i="6"/>
  <c r="R48" i="6"/>
  <c r="N48" i="6"/>
  <c r="U48" i="6"/>
  <c r="O48" i="6"/>
  <c r="S21" i="6"/>
  <c r="M21" i="6"/>
  <c r="O21" i="6"/>
  <c r="U21" i="6"/>
  <c r="R21" i="6"/>
  <c r="Q21" i="6"/>
  <c r="T21" i="6"/>
  <c r="P21" i="6"/>
  <c r="N21" i="6"/>
  <c r="P72" i="6"/>
  <c r="Q72" i="6"/>
  <c r="R72" i="6"/>
  <c r="U72" i="6"/>
  <c r="S72" i="6"/>
  <c r="M72" i="6"/>
  <c r="N72" i="6"/>
  <c r="O72" i="6"/>
  <c r="T72" i="6"/>
  <c r="M80" i="6"/>
  <c r="P80" i="6"/>
  <c r="N80" i="6"/>
  <c r="O80" i="6"/>
  <c r="R80" i="6"/>
  <c r="Q80" i="6"/>
  <c r="T80" i="6"/>
  <c r="S80" i="6"/>
  <c r="U80" i="6"/>
  <c r="M144" i="6"/>
  <c r="N144" i="6"/>
  <c r="O144" i="6"/>
  <c r="T144" i="6"/>
  <c r="U144" i="6"/>
  <c r="S144" i="6"/>
  <c r="P144" i="6"/>
  <c r="R144" i="6"/>
  <c r="Q144" i="6"/>
  <c r="O209" i="6"/>
  <c r="M209" i="6"/>
  <c r="T209" i="6"/>
  <c r="U209" i="6"/>
  <c r="Q209" i="6"/>
  <c r="N209" i="6"/>
  <c r="R209" i="6"/>
  <c r="P209" i="6"/>
  <c r="S209" i="6"/>
  <c r="U249" i="6"/>
  <c r="O249" i="6"/>
  <c r="Q249" i="6"/>
  <c r="S249" i="6"/>
  <c r="T249" i="6"/>
  <c r="P249" i="6"/>
  <c r="R249" i="6"/>
  <c r="N249" i="6"/>
  <c r="M249" i="6"/>
  <c r="U279" i="6"/>
  <c r="Q279" i="6"/>
  <c r="O279" i="6"/>
  <c r="R279" i="6"/>
  <c r="T279" i="6"/>
  <c r="N279" i="6"/>
  <c r="S279" i="6"/>
  <c r="P279" i="6"/>
  <c r="M279" i="6"/>
  <c r="O301" i="6"/>
  <c r="M301" i="6"/>
  <c r="N301" i="6"/>
  <c r="P301" i="6"/>
  <c r="S301" i="6"/>
  <c r="Q301" i="6"/>
  <c r="U301" i="6"/>
  <c r="T301" i="6"/>
  <c r="R301" i="6"/>
  <c r="P30" i="6"/>
  <c r="R30" i="6"/>
  <c r="O30" i="6"/>
  <c r="M30" i="6"/>
  <c r="Q30" i="6"/>
  <c r="T30" i="6"/>
  <c r="N30" i="6"/>
  <c r="S30" i="6"/>
  <c r="U30" i="6"/>
  <c r="S34" i="6"/>
  <c r="R34" i="6"/>
  <c r="T34" i="6"/>
  <c r="O34" i="6"/>
  <c r="M34" i="6"/>
  <c r="N34" i="6"/>
  <c r="U34" i="6"/>
  <c r="Q34" i="6"/>
  <c r="P34" i="6"/>
  <c r="S31" i="6"/>
  <c r="M31" i="6"/>
  <c r="P31" i="6"/>
  <c r="R31" i="6"/>
  <c r="T31" i="6"/>
  <c r="U31" i="6"/>
  <c r="N31" i="6"/>
  <c r="O31" i="6"/>
  <c r="Q31" i="6"/>
  <c r="T263" i="6"/>
  <c r="U263" i="6"/>
  <c r="R263" i="6"/>
  <c r="S263" i="6"/>
  <c r="O263" i="6"/>
  <c r="N263" i="6"/>
  <c r="M263" i="6"/>
  <c r="P263" i="6"/>
  <c r="Q263" i="6"/>
  <c r="T284" i="6"/>
  <c r="U284" i="6"/>
  <c r="O284" i="6"/>
  <c r="M284" i="6"/>
  <c r="P284" i="6"/>
  <c r="S284" i="6"/>
  <c r="N284" i="6"/>
  <c r="R284" i="6"/>
  <c r="Q284" i="6"/>
  <c r="T287" i="6"/>
  <c r="S287" i="6"/>
  <c r="P287" i="6"/>
  <c r="U287" i="6"/>
  <c r="M287" i="6"/>
  <c r="N287" i="6"/>
  <c r="Q287" i="6"/>
  <c r="R287" i="6"/>
  <c r="O287" i="6"/>
  <c r="P295" i="6"/>
  <c r="M295" i="6"/>
  <c r="N295" i="6"/>
  <c r="O295" i="6"/>
  <c r="Q295" i="6"/>
  <c r="T295" i="6"/>
  <c r="S295" i="6"/>
  <c r="U295" i="6"/>
  <c r="R295" i="6"/>
  <c r="R96" i="6"/>
  <c r="M96" i="6"/>
  <c r="U96" i="6"/>
  <c r="N96" i="6"/>
  <c r="O96" i="6"/>
  <c r="P96" i="6"/>
  <c r="Q96" i="6"/>
  <c r="T96" i="6"/>
  <c r="S96" i="6"/>
  <c r="P185" i="6"/>
  <c r="U185" i="6"/>
  <c r="M185" i="6"/>
  <c r="O185" i="6"/>
  <c r="R185" i="6"/>
  <c r="T185" i="6"/>
  <c r="N185" i="6"/>
  <c r="S185" i="6"/>
  <c r="Q185" i="6"/>
  <c r="O177" i="6"/>
  <c r="S177" i="6"/>
  <c r="Q177" i="6"/>
  <c r="R177" i="6"/>
  <c r="P177" i="6"/>
  <c r="T177" i="6"/>
  <c r="U177" i="6"/>
  <c r="M177" i="6"/>
  <c r="N177" i="6"/>
  <c r="N255" i="6"/>
  <c r="M255" i="6"/>
  <c r="P255" i="6"/>
  <c r="Q255" i="6"/>
  <c r="O255" i="6"/>
  <c r="R255" i="6"/>
  <c r="S255" i="6"/>
  <c r="U255" i="6"/>
  <c r="T255" i="6"/>
  <c r="P277" i="6"/>
  <c r="N277" i="6"/>
  <c r="T277" i="6"/>
  <c r="Q277" i="6"/>
  <c r="U277" i="6"/>
  <c r="R277" i="6"/>
  <c r="S277" i="6"/>
  <c r="M277" i="6"/>
  <c r="O277" i="6"/>
  <c r="N12" i="6"/>
  <c r="P12" i="6"/>
  <c r="Q12" i="6"/>
  <c r="R12" i="6"/>
  <c r="U12" i="6"/>
  <c r="S12" i="6"/>
  <c r="M12" i="6"/>
  <c r="T12" i="6"/>
  <c r="O12" i="6"/>
  <c r="H243" i="4"/>
  <c r="H249" i="4"/>
  <c r="I243" i="4"/>
  <c r="I249" i="4"/>
  <c r="H244" i="4"/>
  <c r="I250" i="4"/>
  <c r="K244" i="4"/>
  <c r="I245" i="4"/>
  <c r="J251" i="4"/>
  <c r="K251" i="4"/>
  <c r="H246" i="4"/>
  <c r="K246" i="4"/>
  <c r="I247" i="4"/>
  <c r="K247" i="4"/>
  <c r="I248" i="4"/>
  <c r="K248" i="4"/>
  <c r="J243" i="4"/>
  <c r="J249" i="4"/>
  <c r="K243" i="4"/>
  <c r="K249" i="4"/>
  <c r="H250" i="4"/>
  <c r="J250" i="4"/>
  <c r="K250" i="4"/>
  <c r="H251" i="4"/>
  <c r="I251" i="4"/>
  <c r="K245" i="4"/>
  <c r="I246" i="4"/>
  <c r="J246" i="4"/>
  <c r="H247" i="4"/>
  <c r="J247" i="4"/>
  <c r="H248" i="4"/>
  <c r="J248" i="4"/>
  <c r="I244" i="4"/>
  <c r="J244" i="4"/>
  <c r="J245" i="4"/>
  <c r="H245" i="4"/>
  <c r="I242" i="4"/>
  <c r="K242" i="4"/>
  <c r="J242" i="4"/>
  <c r="H242" i="4"/>
  <c r="K7" i="4"/>
  <c r="H3" i="4"/>
  <c r="J8" i="4"/>
  <c r="I3" i="4"/>
  <c r="H8" i="4"/>
  <c r="K3" i="4"/>
  <c r="J3" i="4"/>
  <c r="I8" i="4"/>
  <c r="H4" i="4"/>
  <c r="I4" i="4"/>
  <c r="H9" i="4"/>
  <c r="J4" i="4"/>
  <c r="I9" i="4"/>
  <c r="K4" i="4"/>
  <c r="J9" i="4"/>
  <c r="I5" i="4"/>
  <c r="H10" i="4"/>
  <c r="K5" i="4"/>
  <c r="H7" i="4"/>
  <c r="I7" i="4"/>
  <c r="H5" i="4"/>
  <c r="J5" i="4"/>
  <c r="H6" i="4"/>
  <c r="I6" i="4"/>
  <c r="J6" i="4"/>
  <c r="K6" i="4"/>
  <c r="J7" i="4"/>
  <c r="K8" i="4"/>
  <c r="K9" i="4"/>
  <c r="I10" i="4"/>
  <c r="J10" i="4"/>
  <c r="K10" i="4"/>
  <c r="J11" i="4"/>
  <c r="H11" i="4"/>
  <c r="I11" i="4"/>
  <c r="K11" i="4"/>
  <c r="H142" i="4"/>
  <c r="K151" i="4"/>
  <c r="I142" i="4"/>
  <c r="H147" i="4"/>
  <c r="J142" i="4"/>
  <c r="I147" i="4"/>
  <c r="K142" i="4"/>
  <c r="J147" i="4"/>
  <c r="K147" i="4"/>
  <c r="I143" i="4"/>
  <c r="H148" i="4"/>
  <c r="J143" i="4"/>
  <c r="I148" i="4"/>
  <c r="K144" i="4"/>
  <c r="J145" i="4"/>
  <c r="K145" i="4"/>
  <c r="I146" i="4"/>
  <c r="H151" i="4"/>
  <c r="H145" i="4"/>
  <c r="I151" i="4"/>
  <c r="I145" i="4"/>
  <c r="J151" i="4"/>
  <c r="H146" i="4"/>
  <c r="K146" i="4"/>
  <c r="J148" i="4"/>
  <c r="K148" i="4"/>
  <c r="H149" i="4"/>
  <c r="I149" i="4"/>
  <c r="K143" i="4"/>
  <c r="H143" i="4"/>
  <c r="H144" i="4"/>
  <c r="I144" i="4"/>
  <c r="J144" i="4"/>
  <c r="J146" i="4"/>
  <c r="I150" i="4"/>
  <c r="J149" i="4"/>
  <c r="H150" i="4"/>
  <c r="K149" i="4"/>
  <c r="J150" i="4"/>
  <c r="K150" i="4"/>
  <c r="K223" i="4"/>
  <c r="J228" i="4"/>
  <c r="K228" i="4"/>
  <c r="H224" i="4"/>
  <c r="I224" i="4"/>
  <c r="H229" i="4"/>
  <c r="J224" i="4"/>
  <c r="I229" i="4"/>
  <c r="K229" i="4"/>
  <c r="H225" i="4"/>
  <c r="H231" i="4"/>
  <c r="K226" i="4"/>
  <c r="I225" i="4"/>
  <c r="I231" i="4"/>
  <c r="J225" i="4"/>
  <c r="J231" i="4"/>
  <c r="K225" i="4"/>
  <c r="K231" i="4"/>
  <c r="H226" i="4"/>
  <c r="I226" i="4"/>
  <c r="J226" i="4"/>
  <c r="H227" i="4"/>
  <c r="I227" i="4"/>
  <c r="J227" i="4"/>
  <c r="K227" i="4"/>
  <c r="H222" i="4"/>
  <c r="H228" i="4"/>
  <c r="I222" i="4"/>
  <c r="I228" i="4"/>
  <c r="J223" i="4"/>
  <c r="K224" i="4"/>
  <c r="J229" i="4"/>
  <c r="H230" i="4"/>
  <c r="I230" i="4"/>
  <c r="J230" i="4"/>
  <c r="K230" i="4"/>
  <c r="H223" i="4"/>
  <c r="J222" i="4"/>
  <c r="K222" i="4"/>
  <c r="I223" i="4"/>
  <c r="K103" i="4"/>
  <c r="J108" i="4"/>
  <c r="K108" i="4"/>
  <c r="H104" i="4"/>
  <c r="I104" i="4"/>
  <c r="H109" i="4"/>
  <c r="J104" i="4"/>
  <c r="I109" i="4"/>
  <c r="K109" i="4"/>
  <c r="H105" i="4"/>
  <c r="I103" i="4"/>
  <c r="J103" i="4"/>
  <c r="H111" i="4"/>
  <c r="J105" i="4"/>
  <c r="K104" i="4"/>
  <c r="I111" i="4"/>
  <c r="I105" i="4"/>
  <c r="J111" i="4"/>
  <c r="K111" i="4"/>
  <c r="K105" i="4"/>
  <c r="H106" i="4"/>
  <c r="I106" i="4"/>
  <c r="J106" i="4"/>
  <c r="K106" i="4"/>
  <c r="H107" i="4"/>
  <c r="I107" i="4"/>
  <c r="J107" i="4"/>
  <c r="K107" i="4"/>
  <c r="I102" i="4"/>
  <c r="J109" i="4"/>
  <c r="H103" i="4"/>
  <c r="K110" i="4"/>
  <c r="H110" i="4"/>
  <c r="I110" i="4"/>
  <c r="J110" i="4"/>
  <c r="H108" i="4"/>
  <c r="H102" i="4"/>
  <c r="J102" i="4"/>
  <c r="K102" i="4"/>
  <c r="I108" i="4"/>
  <c r="K127" i="4"/>
  <c r="I128" i="4"/>
  <c r="H123" i="4"/>
  <c r="J123" i="4"/>
  <c r="I123" i="4"/>
  <c r="H128" i="4"/>
  <c r="K123" i="4"/>
  <c r="J128" i="4"/>
  <c r="H124" i="4"/>
  <c r="I124" i="4"/>
  <c r="H129" i="4"/>
  <c r="K124" i="4"/>
  <c r="H131" i="4"/>
  <c r="J131" i="4"/>
  <c r="H125" i="4"/>
  <c r="I131" i="4"/>
  <c r="I125" i="4"/>
  <c r="J125" i="4"/>
  <c r="K125" i="4"/>
  <c r="I126" i="4"/>
  <c r="K131" i="4"/>
  <c r="H126" i="4"/>
  <c r="J126" i="4"/>
  <c r="K126" i="4"/>
  <c r="H127" i="4"/>
  <c r="I127" i="4"/>
  <c r="J127" i="4"/>
  <c r="K128" i="4"/>
  <c r="I129" i="4"/>
  <c r="I122" i="4"/>
  <c r="J124" i="4"/>
  <c r="K130" i="4"/>
  <c r="J122" i="4"/>
  <c r="J130" i="4"/>
  <c r="H122" i="4"/>
  <c r="K122" i="4"/>
  <c r="J129" i="4"/>
  <c r="K129" i="4"/>
  <c r="H130" i="4"/>
  <c r="I130" i="4"/>
  <c r="K199" i="4"/>
  <c r="J200" i="4"/>
  <c r="H195" i="4"/>
  <c r="I195" i="4"/>
  <c r="H200" i="4"/>
  <c r="J195" i="4"/>
  <c r="I200" i="4"/>
  <c r="K195" i="4"/>
  <c r="H196" i="4"/>
  <c r="I196" i="4"/>
  <c r="H201" i="4"/>
  <c r="I192" i="4"/>
  <c r="J198" i="4"/>
  <c r="J192" i="4"/>
  <c r="K198" i="4"/>
  <c r="J199" i="4"/>
  <c r="K200" i="4"/>
  <c r="K192" i="4"/>
  <c r="H199" i="4"/>
  <c r="I199" i="4"/>
  <c r="J201" i="4"/>
  <c r="H193" i="4"/>
  <c r="I193" i="4"/>
  <c r="J193" i="4"/>
  <c r="K193" i="4"/>
  <c r="I201" i="4"/>
  <c r="I194" i="4"/>
  <c r="J194" i="4"/>
  <c r="K194" i="4"/>
  <c r="K196" i="4"/>
  <c r="J197" i="4"/>
  <c r="H192" i="4"/>
  <c r="H197" i="4"/>
  <c r="H194" i="4"/>
  <c r="J196" i="4"/>
  <c r="I197" i="4"/>
  <c r="K197" i="4"/>
  <c r="H198" i="4"/>
  <c r="I198" i="4"/>
  <c r="K201" i="4"/>
  <c r="J12" i="4"/>
  <c r="I17" i="4"/>
  <c r="H18" i="4"/>
  <c r="K12" i="4"/>
  <c r="J17" i="4"/>
  <c r="K17" i="4"/>
  <c r="H13" i="4"/>
  <c r="I13" i="4"/>
  <c r="K13" i="4"/>
  <c r="J18" i="4"/>
  <c r="K18" i="4"/>
  <c r="H14" i="4"/>
  <c r="I14" i="4"/>
  <c r="H19" i="4"/>
  <c r="K19" i="4"/>
  <c r="J13" i="4"/>
  <c r="I21" i="4"/>
  <c r="H15" i="4"/>
  <c r="J14" i="4"/>
  <c r="J21" i="4"/>
  <c r="J15" i="4"/>
  <c r="K14" i="4"/>
  <c r="K21" i="4"/>
  <c r="I15" i="4"/>
  <c r="K15" i="4"/>
  <c r="H16" i="4"/>
  <c r="I16" i="4"/>
  <c r="J16" i="4"/>
  <c r="K16" i="4"/>
  <c r="H17" i="4"/>
  <c r="I18" i="4"/>
  <c r="I19" i="4"/>
  <c r="J19" i="4"/>
  <c r="I20" i="4"/>
  <c r="I12" i="4"/>
  <c r="H21" i="4"/>
  <c r="H12" i="4"/>
  <c r="H20" i="4"/>
  <c r="J20" i="4"/>
  <c r="K20" i="4"/>
  <c r="J84" i="4"/>
  <c r="I89" i="4"/>
  <c r="K84" i="4"/>
  <c r="J89" i="4"/>
  <c r="H90" i="4"/>
  <c r="K89" i="4"/>
  <c r="H85" i="4"/>
  <c r="I85" i="4"/>
  <c r="K85" i="4"/>
  <c r="J90" i="4"/>
  <c r="K90" i="4"/>
  <c r="I83" i="4"/>
  <c r="J83" i="4"/>
  <c r="H91" i="4"/>
  <c r="H84" i="4"/>
  <c r="I84" i="4"/>
  <c r="K83" i="4"/>
  <c r="I91" i="4"/>
  <c r="J91" i="4"/>
  <c r="K91" i="4"/>
  <c r="J85" i="4"/>
  <c r="H86" i="4"/>
  <c r="I86" i="4"/>
  <c r="J86" i="4"/>
  <c r="K86" i="4"/>
  <c r="H87" i="4"/>
  <c r="I87" i="4"/>
  <c r="J87" i="4"/>
  <c r="K87" i="4"/>
  <c r="I82" i="4"/>
  <c r="J88" i="4"/>
  <c r="H83" i="4"/>
  <c r="I90" i="4"/>
  <c r="J82" i="4"/>
  <c r="H82" i="4"/>
  <c r="K82" i="4"/>
  <c r="H88" i="4"/>
  <c r="I88" i="4"/>
  <c r="K88" i="4"/>
  <c r="H89" i="4"/>
  <c r="J204" i="4"/>
  <c r="I209" i="4"/>
  <c r="K204" i="4"/>
  <c r="J209" i="4"/>
  <c r="H210" i="4"/>
  <c r="K209" i="4"/>
  <c r="H205" i="4"/>
  <c r="I205" i="4"/>
  <c r="K205" i="4"/>
  <c r="J210" i="4"/>
  <c r="K206" i="4"/>
  <c r="H206" i="4"/>
  <c r="I206" i="4"/>
  <c r="J206" i="4"/>
  <c r="H207" i="4"/>
  <c r="I207" i="4"/>
  <c r="J207" i="4"/>
  <c r="H202" i="4"/>
  <c r="H208" i="4"/>
  <c r="I202" i="4"/>
  <c r="I208" i="4"/>
  <c r="J202" i="4"/>
  <c r="J208" i="4"/>
  <c r="H203" i="4"/>
  <c r="H209" i="4"/>
  <c r="K203" i="4"/>
  <c r="K208" i="4"/>
  <c r="I210" i="4"/>
  <c r="K210" i="4"/>
  <c r="H211" i="4"/>
  <c r="I211" i="4"/>
  <c r="J211" i="4"/>
  <c r="K211" i="4"/>
  <c r="J205" i="4"/>
  <c r="I203" i="4"/>
  <c r="K202" i="4"/>
  <c r="J203" i="4"/>
  <c r="H204" i="4"/>
  <c r="I204" i="4"/>
  <c r="K207" i="4"/>
  <c r="K55" i="4"/>
  <c r="J60" i="4"/>
  <c r="K60" i="4"/>
  <c r="H56" i="4"/>
  <c r="I56" i="4"/>
  <c r="H61" i="4"/>
  <c r="J56" i="4"/>
  <c r="I61" i="4"/>
  <c r="H52" i="4"/>
  <c r="K61" i="4"/>
  <c r="I52" i="4"/>
  <c r="H57" i="4"/>
  <c r="K56" i="4"/>
  <c r="I57" i="4"/>
  <c r="H58" i="4"/>
  <c r="J57" i="4"/>
  <c r="K57" i="4"/>
  <c r="I58" i="4"/>
  <c r="J58" i="4"/>
  <c r="J52" i="4"/>
  <c r="K58" i="4"/>
  <c r="K52" i="4"/>
  <c r="H59" i="4"/>
  <c r="H53" i="4"/>
  <c r="I59" i="4"/>
  <c r="I53" i="4"/>
  <c r="J59" i="4"/>
  <c r="J53" i="4"/>
  <c r="K59" i="4"/>
  <c r="K53" i="4"/>
  <c r="H60" i="4"/>
  <c r="H54" i="4"/>
  <c r="I60" i="4"/>
  <c r="K54" i="4"/>
  <c r="J55" i="4"/>
  <c r="I54" i="4"/>
  <c r="J54" i="4"/>
  <c r="I55" i="4"/>
  <c r="H55" i="4"/>
  <c r="J61" i="4"/>
  <c r="I233" i="4"/>
  <c r="H238" i="4"/>
  <c r="J233" i="4"/>
  <c r="I238" i="4"/>
  <c r="K233" i="4"/>
  <c r="J238" i="4"/>
  <c r="K238" i="4"/>
  <c r="H234" i="4"/>
  <c r="J234" i="4"/>
  <c r="I239" i="4"/>
  <c r="H237" i="4"/>
  <c r="I237" i="4"/>
  <c r="H232" i="4"/>
  <c r="J237" i="4"/>
  <c r="K237" i="4"/>
  <c r="H239" i="4"/>
  <c r="K232" i="4"/>
  <c r="I232" i="4"/>
  <c r="J239" i="4"/>
  <c r="J232" i="4"/>
  <c r="K239" i="4"/>
  <c r="H233" i="4"/>
  <c r="I240" i="4"/>
  <c r="I234" i="4"/>
  <c r="J240" i="4"/>
  <c r="K234" i="4"/>
  <c r="K240" i="4"/>
  <c r="I235" i="4"/>
  <c r="I241" i="4"/>
  <c r="J235" i="4"/>
  <c r="J241" i="4"/>
  <c r="J236" i="4"/>
  <c r="H235" i="4"/>
  <c r="K241" i="4"/>
  <c r="K235" i="4"/>
  <c r="H236" i="4"/>
  <c r="I236" i="4"/>
  <c r="K236" i="4"/>
  <c r="H240" i="4"/>
  <c r="H241" i="4"/>
  <c r="H94" i="4"/>
  <c r="I94" i="4"/>
  <c r="H99" i="4"/>
  <c r="J94" i="4"/>
  <c r="I99" i="4"/>
  <c r="K94" i="4"/>
  <c r="J99" i="4"/>
  <c r="K99" i="4"/>
  <c r="I95" i="4"/>
  <c r="H100" i="4"/>
  <c r="J95" i="4"/>
  <c r="I100" i="4"/>
  <c r="H97" i="4"/>
  <c r="I97" i="4"/>
  <c r="J97" i="4"/>
  <c r="K97" i="4"/>
  <c r="H98" i="4"/>
  <c r="H92" i="4"/>
  <c r="I98" i="4"/>
  <c r="I92" i="4"/>
  <c r="J98" i="4"/>
  <c r="J92" i="4"/>
  <c r="K98" i="4"/>
  <c r="K92" i="4"/>
  <c r="J100" i="4"/>
  <c r="H93" i="4"/>
  <c r="K100" i="4"/>
  <c r="I93" i="4"/>
  <c r="J93" i="4"/>
  <c r="H101" i="4"/>
  <c r="K93" i="4"/>
  <c r="I101" i="4"/>
  <c r="J101" i="4"/>
  <c r="H95" i="4"/>
  <c r="K101" i="4"/>
  <c r="H96" i="4"/>
  <c r="K95" i="4"/>
  <c r="I96" i="4"/>
  <c r="J96" i="4"/>
  <c r="K96" i="4"/>
  <c r="J132" i="4"/>
  <c r="I137" i="4"/>
  <c r="I133" i="4"/>
  <c r="K132" i="4"/>
  <c r="J137" i="4"/>
  <c r="K137" i="4"/>
  <c r="H133" i="4"/>
  <c r="H138" i="4"/>
  <c r="K133" i="4"/>
  <c r="J138" i="4"/>
  <c r="K138" i="4"/>
  <c r="H137" i="4"/>
  <c r="I138" i="4"/>
  <c r="I139" i="4"/>
  <c r="J139" i="4"/>
  <c r="H139" i="4"/>
  <c r="H140" i="4"/>
  <c r="H132" i="4"/>
  <c r="K139" i="4"/>
  <c r="J133" i="4"/>
  <c r="I132" i="4"/>
  <c r="H134" i="4"/>
  <c r="I140" i="4"/>
  <c r="I134" i="4"/>
  <c r="J140" i="4"/>
  <c r="I141" i="4"/>
  <c r="J134" i="4"/>
  <c r="K140" i="4"/>
  <c r="K134" i="4"/>
  <c r="H141" i="4"/>
  <c r="H135" i="4"/>
  <c r="I135" i="4"/>
  <c r="J141" i="4"/>
  <c r="J135" i="4"/>
  <c r="K141" i="4"/>
  <c r="H136" i="4"/>
  <c r="K136" i="4"/>
  <c r="K135" i="4"/>
  <c r="J136" i="4"/>
  <c r="I136" i="4"/>
  <c r="H22" i="4"/>
  <c r="K31" i="4"/>
  <c r="I22" i="4"/>
  <c r="H27" i="4"/>
  <c r="J22" i="4"/>
  <c r="I27" i="4"/>
  <c r="K22" i="4"/>
  <c r="J27" i="4"/>
  <c r="K27" i="4"/>
  <c r="I23" i="4"/>
  <c r="H28" i="4"/>
  <c r="J23" i="4"/>
  <c r="I28" i="4"/>
  <c r="K28" i="4"/>
  <c r="J24" i="4"/>
  <c r="J29" i="4"/>
  <c r="J30" i="4"/>
  <c r="K29" i="4"/>
  <c r="I30" i="4"/>
  <c r="H30" i="4"/>
  <c r="H23" i="4"/>
  <c r="K23" i="4"/>
  <c r="H24" i="4"/>
  <c r="K30" i="4"/>
  <c r="I24" i="4"/>
  <c r="K24" i="4"/>
  <c r="H31" i="4"/>
  <c r="I31" i="4"/>
  <c r="H25" i="4"/>
  <c r="J31" i="4"/>
  <c r="I25" i="4"/>
  <c r="J25" i="4"/>
  <c r="K25" i="4"/>
  <c r="H26" i="4"/>
  <c r="I26" i="4"/>
  <c r="I29" i="4"/>
  <c r="J26" i="4"/>
  <c r="K26" i="4"/>
  <c r="J28" i="4"/>
  <c r="H29" i="4"/>
  <c r="I113" i="4"/>
  <c r="H118" i="4"/>
  <c r="J113" i="4"/>
  <c r="I118" i="4"/>
  <c r="K113" i="4"/>
  <c r="J118" i="4"/>
  <c r="K118" i="4"/>
  <c r="H114" i="4"/>
  <c r="J114" i="4"/>
  <c r="I119" i="4"/>
  <c r="K114" i="4"/>
  <c r="J119" i="4"/>
  <c r="H117" i="4"/>
  <c r="I117" i="4"/>
  <c r="H119" i="4"/>
  <c r="J112" i="4"/>
  <c r="J117" i="4"/>
  <c r="K117" i="4"/>
  <c r="H112" i="4"/>
  <c r="K119" i="4"/>
  <c r="I112" i="4"/>
  <c r="H120" i="4"/>
  <c r="K112" i="4"/>
  <c r="I120" i="4"/>
  <c r="J120" i="4"/>
  <c r="H113" i="4"/>
  <c r="K120" i="4"/>
  <c r="I114" i="4"/>
  <c r="H121" i="4"/>
  <c r="H115" i="4"/>
  <c r="I121" i="4"/>
  <c r="I115" i="4"/>
  <c r="J121" i="4"/>
  <c r="J115" i="4"/>
  <c r="K121" i="4"/>
  <c r="H116" i="4"/>
  <c r="K115" i="4"/>
  <c r="I116" i="4"/>
  <c r="J116" i="4"/>
  <c r="K116" i="4"/>
  <c r="K79" i="4"/>
  <c r="J80" i="4"/>
  <c r="H75" i="4"/>
  <c r="I75" i="4"/>
  <c r="H80" i="4"/>
  <c r="J75" i="4"/>
  <c r="I80" i="4"/>
  <c r="K75" i="4"/>
  <c r="H76" i="4"/>
  <c r="I76" i="4"/>
  <c r="H81" i="4"/>
  <c r="H77" i="4"/>
  <c r="I77" i="4"/>
  <c r="J77" i="4"/>
  <c r="K77" i="4"/>
  <c r="H78" i="4"/>
  <c r="H72" i="4"/>
  <c r="I78" i="4"/>
  <c r="I72" i="4"/>
  <c r="J78" i="4"/>
  <c r="J72" i="4"/>
  <c r="K78" i="4"/>
  <c r="K72" i="4"/>
  <c r="H79" i="4"/>
  <c r="H73" i="4"/>
  <c r="I79" i="4"/>
  <c r="I73" i="4"/>
  <c r="J79" i="4"/>
  <c r="J73" i="4"/>
  <c r="K80" i="4"/>
  <c r="K73" i="4"/>
  <c r="I81" i="4"/>
  <c r="J81" i="4"/>
  <c r="H74" i="4"/>
  <c r="K81" i="4"/>
  <c r="K74" i="4"/>
  <c r="J76" i="4"/>
  <c r="K76" i="4"/>
  <c r="I74" i="4"/>
  <c r="J74" i="4"/>
  <c r="H214" i="4"/>
  <c r="K214" i="4"/>
  <c r="I214" i="4"/>
  <c r="H219" i="4"/>
  <c r="J219" i="4"/>
  <c r="J214" i="4"/>
  <c r="I219" i="4"/>
  <c r="K219" i="4"/>
  <c r="I215" i="4"/>
  <c r="H220" i="4"/>
  <c r="I220" i="4"/>
  <c r="H212" i="4"/>
  <c r="H218" i="4"/>
  <c r="K220" i="4"/>
  <c r="I212" i="4"/>
  <c r="I218" i="4"/>
  <c r="J218" i="4"/>
  <c r="K212" i="4"/>
  <c r="H213" i="4"/>
  <c r="J212" i="4"/>
  <c r="K218" i="4"/>
  <c r="J213" i="4"/>
  <c r="I213" i="4"/>
  <c r="J220" i="4"/>
  <c r="H221" i="4"/>
  <c r="H215" i="4"/>
  <c r="I221" i="4"/>
  <c r="J215" i="4"/>
  <c r="J221" i="4"/>
  <c r="K215" i="4"/>
  <c r="K221" i="4"/>
  <c r="H216" i="4"/>
  <c r="I216" i="4"/>
  <c r="J216" i="4"/>
  <c r="K213" i="4"/>
  <c r="K216" i="4"/>
  <c r="H217" i="4"/>
  <c r="I217" i="4"/>
  <c r="J217" i="4"/>
  <c r="K217" i="4"/>
  <c r="K175" i="4"/>
  <c r="J180" i="4"/>
  <c r="K180" i="4"/>
  <c r="H176" i="4"/>
  <c r="I176" i="4"/>
  <c r="H181" i="4"/>
  <c r="J176" i="4"/>
  <c r="I181" i="4"/>
  <c r="H172" i="4"/>
  <c r="K181" i="4"/>
  <c r="I172" i="4"/>
  <c r="H177" i="4"/>
  <c r="J178" i="4"/>
  <c r="J179" i="4"/>
  <c r="J172" i="4"/>
  <c r="K178" i="4"/>
  <c r="H173" i="4"/>
  <c r="K172" i="4"/>
  <c r="I173" i="4"/>
  <c r="H179" i="4"/>
  <c r="I179" i="4"/>
  <c r="J173" i="4"/>
  <c r="K179" i="4"/>
  <c r="K173" i="4"/>
  <c r="H180" i="4"/>
  <c r="I174" i="4"/>
  <c r="J181" i="4"/>
  <c r="J174" i="4"/>
  <c r="K174" i="4"/>
  <c r="H175" i="4"/>
  <c r="I175" i="4"/>
  <c r="J175" i="4"/>
  <c r="J177" i="4"/>
  <c r="H174" i="4"/>
  <c r="K176" i="4"/>
  <c r="I177" i="4"/>
  <c r="K177" i="4"/>
  <c r="H178" i="4"/>
  <c r="I178" i="4"/>
  <c r="I180" i="4"/>
  <c r="I185" i="4"/>
  <c r="H190" i="4"/>
  <c r="J185" i="4"/>
  <c r="I190" i="4"/>
  <c r="K185" i="4"/>
  <c r="J190" i="4"/>
  <c r="K190" i="4"/>
  <c r="H186" i="4"/>
  <c r="J186" i="4"/>
  <c r="I191" i="4"/>
  <c r="K186" i="4"/>
  <c r="J191" i="4"/>
  <c r="K184" i="4"/>
  <c r="H185" i="4"/>
  <c r="I186" i="4"/>
  <c r="H187" i="4"/>
  <c r="I187" i="4"/>
  <c r="J187" i="4"/>
  <c r="K187" i="4"/>
  <c r="H188" i="4"/>
  <c r="H182" i="4"/>
  <c r="I188" i="4"/>
  <c r="I182" i="4"/>
  <c r="J188" i="4"/>
  <c r="J182" i="4"/>
  <c r="K188" i="4"/>
  <c r="K182" i="4"/>
  <c r="H189" i="4"/>
  <c r="H183" i="4"/>
  <c r="I189" i="4"/>
  <c r="K183" i="4"/>
  <c r="J189" i="4"/>
  <c r="K189" i="4"/>
  <c r="H191" i="4"/>
  <c r="K191" i="4"/>
  <c r="I184" i="4"/>
  <c r="I183" i="4"/>
  <c r="J183" i="4"/>
  <c r="H184" i="4"/>
  <c r="J184" i="4"/>
  <c r="I65" i="4"/>
  <c r="H70" i="4"/>
  <c r="J65" i="4"/>
  <c r="I70" i="4"/>
  <c r="K65" i="4"/>
  <c r="J70" i="4"/>
  <c r="K70" i="4"/>
  <c r="H66" i="4"/>
  <c r="J66" i="4"/>
  <c r="I71" i="4"/>
  <c r="K66" i="4"/>
  <c r="J71" i="4"/>
  <c r="I63" i="4"/>
  <c r="J69" i="4"/>
  <c r="J63" i="4"/>
  <c r="K69" i="4"/>
  <c r="H64" i="4"/>
  <c r="K63" i="4"/>
  <c r="H71" i="4"/>
  <c r="K71" i="4"/>
  <c r="I64" i="4"/>
  <c r="J64" i="4"/>
  <c r="K64" i="4"/>
  <c r="H65" i="4"/>
  <c r="I66" i="4"/>
  <c r="H67" i="4"/>
  <c r="I67" i="4"/>
  <c r="J67" i="4"/>
  <c r="K67" i="4"/>
  <c r="I62" i="4"/>
  <c r="J68" i="4"/>
  <c r="H63" i="4"/>
  <c r="I69" i="4"/>
  <c r="H62" i="4"/>
  <c r="J62" i="4"/>
  <c r="K62" i="4"/>
  <c r="H68" i="4"/>
  <c r="I68" i="4"/>
  <c r="K68" i="4"/>
  <c r="H69" i="4"/>
  <c r="H166" i="4"/>
  <c r="I166" i="4"/>
  <c r="H171" i="4"/>
  <c r="J166" i="4"/>
  <c r="I171" i="4"/>
  <c r="H162" i="4"/>
  <c r="K166" i="4"/>
  <c r="J171" i="4"/>
  <c r="K171" i="4"/>
  <c r="J162" i="4"/>
  <c r="I167" i="4"/>
  <c r="K162" i="4"/>
  <c r="J167" i="4"/>
  <c r="K164" i="4"/>
  <c r="K165" i="4"/>
  <c r="H165" i="4"/>
  <c r="I165" i="4"/>
  <c r="J165" i="4"/>
  <c r="H167" i="4"/>
  <c r="K167" i="4"/>
  <c r="H168" i="4"/>
  <c r="I168" i="4"/>
  <c r="J168" i="4"/>
  <c r="K168" i="4"/>
  <c r="I162" i="4"/>
  <c r="H169" i="4"/>
  <c r="H163" i="4"/>
  <c r="I169" i="4"/>
  <c r="K163" i="4"/>
  <c r="H164" i="4"/>
  <c r="I164" i="4"/>
  <c r="J164" i="4"/>
  <c r="J169" i="4"/>
  <c r="K169" i="4"/>
  <c r="H170" i="4"/>
  <c r="I170" i="4"/>
  <c r="J170" i="4"/>
  <c r="K170" i="4"/>
  <c r="J163" i="4"/>
  <c r="I163" i="4"/>
  <c r="H46" i="4"/>
  <c r="I46" i="4"/>
  <c r="H51" i="4"/>
  <c r="J46" i="4"/>
  <c r="I51" i="4"/>
  <c r="K46" i="4"/>
  <c r="J51" i="4"/>
  <c r="H42" i="4"/>
  <c r="K51" i="4"/>
  <c r="J42" i="4"/>
  <c r="I47" i="4"/>
  <c r="K42" i="4"/>
  <c r="J47" i="4"/>
  <c r="I43" i="4"/>
  <c r="J49" i="4"/>
  <c r="I44" i="4"/>
  <c r="J43" i="4"/>
  <c r="K49" i="4"/>
  <c r="K43" i="4"/>
  <c r="J50" i="4"/>
  <c r="H50" i="4"/>
  <c r="I50" i="4"/>
  <c r="H44" i="4"/>
  <c r="J44" i="4"/>
  <c r="K50" i="4"/>
  <c r="K44" i="4"/>
  <c r="H45" i="4"/>
  <c r="I45" i="4"/>
  <c r="J45" i="4"/>
  <c r="K45" i="4"/>
  <c r="H47" i="4"/>
  <c r="K47" i="4"/>
  <c r="J48" i="4"/>
  <c r="H43" i="4"/>
  <c r="I49" i="4"/>
  <c r="I48" i="4"/>
  <c r="H48" i="4"/>
  <c r="K48" i="4"/>
  <c r="H49" i="4"/>
  <c r="I42" i="4"/>
  <c r="J156" i="4"/>
  <c r="I161" i="4"/>
  <c r="K156" i="4"/>
  <c r="J161" i="4"/>
  <c r="J152" i="4"/>
  <c r="H152" i="4"/>
  <c r="K161" i="4"/>
  <c r="I152" i="4"/>
  <c r="H157" i="4"/>
  <c r="I157" i="4"/>
  <c r="K157" i="4"/>
  <c r="H153" i="4"/>
  <c r="J158" i="4"/>
  <c r="K158" i="4"/>
  <c r="H159" i="4"/>
  <c r="I159" i="4"/>
  <c r="H160" i="4"/>
  <c r="K152" i="4"/>
  <c r="J159" i="4"/>
  <c r="I153" i="4"/>
  <c r="J153" i="4"/>
  <c r="K159" i="4"/>
  <c r="K153" i="4"/>
  <c r="I154" i="4"/>
  <c r="J160" i="4"/>
  <c r="J154" i="4"/>
  <c r="K160" i="4"/>
  <c r="K154" i="4"/>
  <c r="H161" i="4"/>
  <c r="H155" i="4"/>
  <c r="I155" i="4"/>
  <c r="J155" i="4"/>
  <c r="H156" i="4"/>
  <c r="J157" i="4"/>
  <c r="H154" i="4"/>
  <c r="K155" i="4"/>
  <c r="I156" i="4"/>
  <c r="H158" i="4"/>
  <c r="I158" i="4"/>
  <c r="I160" i="4"/>
  <c r="J36" i="4"/>
  <c r="I41" i="4"/>
  <c r="K36" i="4"/>
  <c r="J41" i="4"/>
  <c r="H32" i="4"/>
  <c r="K41" i="4"/>
  <c r="I32" i="4"/>
  <c r="H37" i="4"/>
  <c r="J32" i="4"/>
  <c r="I37" i="4"/>
  <c r="K37" i="4"/>
  <c r="H33" i="4"/>
  <c r="K35" i="4"/>
  <c r="J37" i="4"/>
  <c r="H36" i="4"/>
  <c r="I36" i="4"/>
  <c r="H38" i="4"/>
  <c r="I38" i="4"/>
  <c r="J38" i="4"/>
  <c r="K38" i="4"/>
  <c r="H39" i="4"/>
  <c r="K32" i="4"/>
  <c r="I39" i="4"/>
  <c r="I33" i="4"/>
  <c r="J39" i="4"/>
  <c r="J33" i="4"/>
  <c r="K39" i="4"/>
  <c r="K33" i="4"/>
  <c r="H40" i="4"/>
  <c r="H34" i="4"/>
  <c r="I40" i="4"/>
  <c r="K34" i="4"/>
  <c r="J35" i="4"/>
  <c r="I34" i="4"/>
  <c r="J34" i="4"/>
  <c r="H35" i="4"/>
  <c r="I35" i="4"/>
  <c r="H41" i="4"/>
  <c r="J40" i="4"/>
  <c r="K40" i="4"/>
  <c r="I2" i="4"/>
  <c r="J2" i="4"/>
  <c r="K2" i="4"/>
  <c r="H2" i="4"/>
  <c r="P28" i="3"/>
  <c r="Q17" i="3"/>
  <c r="P4" i="3"/>
  <c r="Q30" i="3"/>
  <c r="O28" i="3"/>
  <c r="P17" i="3"/>
  <c r="Q6" i="3"/>
  <c r="O4" i="3"/>
  <c r="X13" i="3"/>
  <c r="X26" i="3"/>
  <c r="W13" i="3"/>
  <c r="X2" i="3"/>
  <c r="W26" i="3"/>
  <c r="X15" i="3"/>
  <c r="V13" i="3"/>
  <c r="W2" i="3"/>
  <c r="X28" i="3"/>
  <c r="V26" i="3"/>
  <c r="W15" i="3"/>
  <c r="U13" i="3"/>
  <c r="X4" i="3"/>
  <c r="V2" i="3"/>
  <c r="W28" i="3"/>
  <c r="U26" i="3"/>
  <c r="X17" i="3"/>
  <c r="V15" i="3"/>
  <c r="T13" i="3"/>
  <c r="W4" i="3"/>
  <c r="U2" i="3"/>
  <c r="X30" i="3"/>
  <c r="V28" i="3"/>
  <c r="T26" i="3"/>
  <c r="W17" i="3"/>
  <c r="U15" i="3"/>
  <c r="S13" i="3"/>
  <c r="X6" i="3"/>
  <c r="V4" i="3"/>
  <c r="T2" i="3"/>
  <c r="W30" i="3"/>
  <c r="U28" i="3"/>
  <c r="S26" i="3"/>
  <c r="X19" i="3"/>
  <c r="V17" i="3"/>
  <c r="T15" i="3"/>
  <c r="R13" i="3"/>
  <c r="W6" i="3"/>
  <c r="U4" i="3"/>
  <c r="S2" i="3"/>
  <c r="V30" i="3"/>
  <c r="T28" i="3"/>
  <c r="R26" i="3"/>
  <c r="W19" i="3"/>
  <c r="U17" i="3"/>
  <c r="S15" i="3"/>
  <c r="Q13" i="3"/>
  <c r="X8" i="3"/>
  <c r="V6" i="3"/>
  <c r="T4" i="3"/>
  <c r="R2" i="3"/>
  <c r="U30" i="3"/>
  <c r="S28" i="3"/>
  <c r="Q26" i="3"/>
  <c r="X21" i="3"/>
  <c r="V19" i="3"/>
  <c r="T17" i="3"/>
  <c r="R15" i="3"/>
  <c r="P13" i="3"/>
  <c r="W8" i="3"/>
  <c r="U6" i="3"/>
  <c r="S4" i="3"/>
  <c r="Q2" i="3"/>
  <c r="T30" i="3"/>
  <c r="R28" i="3"/>
  <c r="P26" i="3"/>
  <c r="W21" i="3"/>
  <c r="U19" i="3"/>
  <c r="S17" i="3"/>
  <c r="Q15" i="3"/>
  <c r="X10" i="3"/>
  <c r="V8" i="3"/>
  <c r="T6" i="3"/>
  <c r="R4" i="3"/>
  <c r="P2" i="3"/>
  <c r="L31" i="1"/>
  <c r="J17" i="1"/>
  <c r="K12" i="1"/>
  <c r="L7" i="1"/>
  <c r="K23" i="1"/>
  <c r="L18" i="1"/>
  <c r="K18" i="1"/>
  <c r="M22" i="1"/>
  <c r="L22" i="1"/>
  <c r="M17" i="1"/>
  <c r="K3" i="1"/>
  <c r="K22" i="1"/>
  <c r="L17" i="1"/>
  <c r="M12" i="1"/>
  <c r="AD12" i="6"/>
  <c r="AE30" i="6"/>
  <c r="Y5" i="6"/>
  <c r="Z19" i="6"/>
  <c r="AE16" i="6"/>
  <c r="AD4" i="6"/>
  <c r="X15" i="6"/>
  <c r="AB31" i="6"/>
  <c r="AD6" i="6"/>
  <c r="AC2" i="6"/>
  <c r="Z29" i="6"/>
  <c r="N17" i="4"/>
  <c r="O5" i="4"/>
  <c r="P14" i="4"/>
  <c r="Q10" i="4"/>
  <c r="AA29" i="6"/>
  <c r="N25" i="4"/>
  <c r="O6" i="4"/>
  <c r="P3" i="4"/>
  <c r="Q19" i="4"/>
  <c r="O4" i="4"/>
  <c r="AE21" i="6"/>
  <c r="P16" i="4"/>
  <c r="P9" i="4"/>
  <c r="AF21" i="6"/>
  <c r="P19" i="4"/>
  <c r="X12" i="6"/>
  <c r="Z30" i="6"/>
  <c r="AC13" i="6"/>
  <c r="AA5" i="6"/>
  <c r="AE19" i="6"/>
  <c r="Y16" i="6"/>
  <c r="AF4" i="6"/>
  <c r="AA27" i="6"/>
  <c r="AA15" i="6"/>
  <c r="AD31" i="6"/>
  <c r="X6" i="6"/>
  <c r="AD2" i="6"/>
  <c r="AE12" i="6"/>
  <c r="AA30" i="6"/>
  <c r="AD13" i="6"/>
  <c r="X5" i="6"/>
  <c r="P29" i="4"/>
  <c r="AB19" i="6"/>
  <c r="AC16" i="6"/>
  <c r="X4" i="6"/>
  <c r="AB27" i="6"/>
  <c r="Z15" i="6"/>
  <c r="X31" i="6"/>
  <c r="AC6" i="6"/>
  <c r="AE2" i="6"/>
  <c r="Y29" i="6"/>
  <c r="N26" i="4"/>
  <c r="P18" i="4"/>
  <c r="P15" i="4"/>
  <c r="Q14" i="4"/>
  <c r="N23" i="4"/>
  <c r="Q18" i="4"/>
  <c r="AA12" i="6"/>
  <c r="AF30" i="6"/>
  <c r="Y13" i="6"/>
  <c r="AE5" i="6"/>
  <c r="AD16" i="6"/>
  <c r="AE4" i="6"/>
  <c r="Y27" i="6"/>
  <c r="Y15" i="6"/>
  <c r="AC31" i="6"/>
  <c r="AE6" i="6"/>
  <c r="AF2" i="6"/>
  <c r="AD29" i="6"/>
  <c r="P20" i="4"/>
  <c r="AD30" i="6"/>
  <c r="AD7" i="6"/>
  <c r="AF13" i="6"/>
  <c r="Z5" i="6"/>
  <c r="Z16" i="6"/>
  <c r="AC4" i="6"/>
  <c r="AC27" i="6"/>
  <c r="AB15" i="6"/>
  <c r="AF31" i="6"/>
  <c r="AA6" i="6"/>
  <c r="AB14" i="6"/>
  <c r="AE29" i="6"/>
  <c r="N22" i="4"/>
  <c r="P24" i="4"/>
  <c r="P10" i="4"/>
  <c r="Q9" i="4"/>
  <c r="AE15" i="6"/>
  <c r="Y31" i="6"/>
  <c r="AB6" i="6"/>
  <c r="AF14" i="6"/>
  <c r="AF17" i="6"/>
  <c r="N11" i="4"/>
  <c r="P26" i="4"/>
  <c r="Q27" i="4"/>
  <c r="N8" i="4"/>
  <c r="Q16" i="4"/>
  <c r="P17" i="4"/>
  <c r="AC25" i="6"/>
  <c r="Q23" i="4"/>
  <c r="AA26" i="6"/>
  <c r="N20" i="4"/>
  <c r="AF12" i="6"/>
  <c r="X19" i="6"/>
  <c r="AC15" i="6"/>
  <c r="AB30" i="6"/>
  <c r="X7" i="6"/>
  <c r="AE13" i="6"/>
  <c r="AF5" i="6"/>
  <c r="AA16" i="6"/>
  <c r="Z4" i="6"/>
  <c r="AE27" i="6"/>
  <c r="P6" i="4"/>
  <c r="P8" i="4"/>
  <c r="Q25" i="4"/>
  <c r="AE26" i="6"/>
  <c r="Y30" i="6"/>
  <c r="Z7" i="6"/>
  <c r="Z13" i="6"/>
  <c r="AD5" i="6"/>
  <c r="X24" i="6"/>
  <c r="X16" i="6"/>
  <c r="AB4" i="6"/>
  <c r="AF27" i="6"/>
  <c r="AF15" i="6"/>
  <c r="AE31" i="6"/>
  <c r="AF6" i="6"/>
  <c r="AE14" i="6"/>
  <c r="AD17" i="6"/>
  <c r="O19" i="4"/>
  <c r="O24" i="4"/>
  <c r="O9" i="4"/>
  <c r="P28" i="4"/>
  <c r="Y7" i="6"/>
  <c r="X13" i="6"/>
  <c r="AB5" i="6"/>
  <c r="AB24" i="6"/>
  <c r="AF16" i="6"/>
  <c r="Z27" i="6"/>
  <c r="AC14" i="6"/>
  <c r="X17" i="6"/>
  <c r="N14" i="4"/>
  <c r="O21" i="4"/>
  <c r="O22" i="4"/>
  <c r="Q24" i="4"/>
  <c r="P7" i="4"/>
  <c r="O18" i="4"/>
  <c r="O15" i="4"/>
  <c r="N24" i="4"/>
  <c r="Q29" i="4"/>
  <c r="Y8" i="6"/>
  <c r="AF23" i="6"/>
  <c r="X28" i="6"/>
  <c r="AB18" i="6"/>
  <c r="AE20" i="6"/>
  <c r="AE3" i="6"/>
  <c r="N4" i="4"/>
  <c r="AA7" i="6"/>
  <c r="AB13" i="6"/>
  <c r="AF24" i="6"/>
  <c r="AB16" i="6"/>
  <c r="AD27" i="6"/>
  <c r="Z14" i="6"/>
  <c r="AE10" i="6"/>
  <c r="Y17" i="6"/>
  <c r="AA9" i="6"/>
  <c r="N13" i="4"/>
  <c r="Q4" i="4"/>
  <c r="N10" i="4"/>
  <c r="O7" i="4"/>
  <c r="N2" i="4"/>
  <c r="Y28" i="6"/>
  <c r="X3" i="6"/>
  <c r="Z31" i="6"/>
  <c r="O28" i="4"/>
  <c r="AB7" i="6"/>
  <c r="AA13" i="6"/>
  <c r="Z24" i="6"/>
  <c r="X27" i="6"/>
  <c r="X14" i="6"/>
  <c r="Z10" i="6"/>
  <c r="AC17" i="6"/>
  <c r="AB9" i="6"/>
  <c r="Q6" i="4"/>
  <c r="Q15" i="4"/>
  <c r="X23" i="6"/>
  <c r="AE7" i="6"/>
  <c r="AC18" i="6"/>
  <c r="AA24" i="6"/>
  <c r="Y14" i="6"/>
  <c r="AF8" i="6"/>
  <c r="AB10" i="6"/>
  <c r="AB17" i="6"/>
  <c r="AC9" i="6"/>
  <c r="AB23" i="6"/>
  <c r="AC7" i="6"/>
  <c r="AE18" i="6"/>
  <c r="Y24" i="6"/>
  <c r="AA14" i="6"/>
  <c r="AD8" i="6"/>
  <c r="X10" i="6"/>
  <c r="AA17" i="6"/>
  <c r="AF9" i="6"/>
  <c r="Y3" i="6"/>
  <c r="N12" i="4"/>
  <c r="O2" i="4"/>
  <c r="O20" i="4"/>
  <c r="P25" i="4"/>
  <c r="Q8" i="4"/>
  <c r="N21" i="4"/>
  <c r="P5" i="4"/>
  <c r="Q21" i="4"/>
  <c r="O16" i="4"/>
  <c r="Q11" i="4"/>
  <c r="AF22" i="6"/>
  <c r="AB20" i="6"/>
  <c r="Q30" i="4"/>
  <c r="AE11" i="6"/>
  <c r="X8" i="6"/>
  <c r="Q2" i="4"/>
  <c r="P27" i="4"/>
  <c r="AE23" i="6"/>
  <c r="AF7" i="6"/>
  <c r="X18" i="6"/>
  <c r="O29" i="4"/>
  <c r="AD24" i="6"/>
  <c r="N31" i="4"/>
  <c r="P31" i="4"/>
  <c r="AD14" i="6"/>
  <c r="AA8" i="6"/>
  <c r="AF10" i="6"/>
  <c r="Z17" i="6"/>
  <c r="AD9" i="6"/>
  <c r="AA3" i="6"/>
  <c r="N3" i="4"/>
  <c r="P2" i="4"/>
  <c r="P22" i="4"/>
  <c r="P23" i="4"/>
  <c r="Q31" i="4"/>
  <c r="Q13" i="4"/>
  <c r="P30" i="4"/>
  <c r="N28" i="4"/>
  <c r="Y23" i="6"/>
  <c r="AC28" i="6"/>
  <c r="AD11" i="6"/>
  <c r="Y18" i="6"/>
  <c r="AE25" i="6"/>
  <c r="Z22" i="6"/>
  <c r="AC24" i="6"/>
  <c r="AD20" i="6"/>
  <c r="Z8" i="6"/>
  <c r="AC10" i="6"/>
  <c r="AE17" i="6"/>
  <c r="X9" i="6"/>
  <c r="AB3" i="6"/>
  <c r="N5" i="4"/>
  <c r="P12" i="4"/>
  <c r="O23" i="4"/>
  <c r="Q5" i="4"/>
  <c r="O3" i="4"/>
  <c r="P4" i="4"/>
  <c r="Q22" i="4"/>
  <c r="N18" i="4"/>
  <c r="AD25" i="6"/>
  <c r="N29" i="4"/>
  <c r="AD21" i="6"/>
  <c r="Z26" i="6"/>
  <c r="X30" i="6"/>
  <c r="AA2" i="6"/>
  <c r="X29" i="6"/>
  <c r="O17" i="4"/>
  <c r="AC23" i="6"/>
  <c r="AF28" i="6"/>
  <c r="X11" i="6"/>
  <c r="AA18" i="6"/>
  <c r="AF25" i="6"/>
  <c r="X22" i="6"/>
  <c r="AE24" i="6"/>
  <c r="O31" i="4"/>
  <c r="AF20" i="6"/>
  <c r="AC8" i="6"/>
  <c r="AD10" i="6"/>
  <c r="Y21" i="6"/>
  <c r="Y9" i="6"/>
  <c r="AC3" i="6"/>
  <c r="Q26" i="4"/>
  <c r="O14" i="4"/>
  <c r="AD26" i="6"/>
  <c r="AD23" i="6"/>
  <c r="AD28" i="6"/>
  <c r="AA11" i="6"/>
  <c r="Z18" i="6"/>
  <c r="X25" i="6"/>
  <c r="AD22" i="6"/>
  <c r="Z20" i="6"/>
  <c r="AE8" i="6"/>
  <c r="N30" i="4"/>
  <c r="Y10" i="6"/>
  <c r="Z21" i="6"/>
  <c r="Z9" i="6"/>
  <c r="AF3" i="6"/>
  <c r="N6" i="4"/>
  <c r="AE9" i="6"/>
  <c r="AD3" i="6"/>
  <c r="O25" i="4"/>
  <c r="AC19" i="6"/>
  <c r="Y26" i="6"/>
  <c r="Z23" i="6"/>
  <c r="AA28" i="6"/>
  <c r="AC11" i="6"/>
  <c r="AD18" i="6"/>
  <c r="Z25" i="6"/>
  <c r="AE22" i="6"/>
  <c r="X20" i="6"/>
  <c r="AB8" i="6"/>
  <c r="AA10" i="6"/>
  <c r="AA21" i="6"/>
  <c r="O11" i="4"/>
  <c r="AA23" i="6"/>
  <c r="Y11" i="6"/>
  <c r="AF18" i="6"/>
  <c r="N19" i="4"/>
  <c r="AA22" i="6"/>
  <c r="AB26" i="6"/>
  <c r="Y12" i="6"/>
  <c r="AE28" i="6"/>
  <c r="AF11" i="6"/>
  <c r="Y25" i="6"/>
  <c r="AB22" i="6"/>
  <c r="AD19" i="6"/>
  <c r="X2" i="6"/>
  <c r="Y20" i="6"/>
  <c r="AB21" i="6"/>
  <c r="Z3" i="6"/>
  <c r="N7" i="4"/>
  <c r="P21" i="4"/>
  <c r="P11" i="4"/>
  <c r="Q28" i="4"/>
  <c r="N15" i="4"/>
  <c r="O12" i="4"/>
  <c r="Q17" i="4"/>
  <c r="Z2" i="6"/>
  <c r="AC20" i="6"/>
  <c r="N16" i="4"/>
  <c r="P13" i="4"/>
  <c r="Y6" i="6"/>
  <c r="AC26" i="6"/>
  <c r="Z12" i="6"/>
  <c r="AB28" i="6"/>
  <c r="Z11" i="6"/>
  <c r="AA25" i="6"/>
  <c r="AC22" i="6"/>
  <c r="AA19" i="6"/>
  <c r="Y2" i="6"/>
  <c r="AA20" i="6"/>
  <c r="O30" i="4"/>
  <c r="AF29" i="6"/>
  <c r="AC21" i="6"/>
  <c r="O10" i="4"/>
  <c r="AF26" i="6"/>
  <c r="AB12" i="6"/>
  <c r="Z28" i="6"/>
  <c r="AB11" i="6"/>
  <c r="AB25" i="6"/>
  <c r="Y22" i="6"/>
  <c r="N27" i="4"/>
  <c r="AF19" i="6"/>
  <c r="AB29" i="6"/>
  <c r="X21" i="6"/>
  <c r="O8" i="4"/>
  <c r="Q7" i="4"/>
  <c r="Y4" i="6"/>
  <c r="Q20" i="4"/>
  <c r="X26" i="6"/>
  <c r="AC12" i="6"/>
  <c r="AC30" i="6"/>
  <c r="O27" i="4"/>
  <c r="AC5" i="6"/>
  <c r="Y19" i="6"/>
  <c r="AA4" i="6"/>
  <c r="AD15" i="6"/>
  <c r="AA31" i="6"/>
  <c r="Z6" i="6"/>
  <c r="AB2" i="6"/>
  <c r="AC29" i="6"/>
  <c r="N9" i="4"/>
  <c r="O13" i="4"/>
  <c r="O26" i="4"/>
  <c r="Q3" i="4"/>
  <c r="Q12" i="4"/>
  <c r="AN29" i="6" l="1"/>
  <c r="AM2" i="6"/>
  <c r="AK6" i="6"/>
  <c r="AL31" i="6"/>
  <c r="AO15" i="6"/>
  <c r="AL4" i="6"/>
  <c r="AJ19" i="6"/>
  <c r="AN5" i="6"/>
  <c r="U27" i="4"/>
  <c r="AN30" i="6"/>
  <c r="AN12" i="6"/>
  <c r="AI26" i="6"/>
  <c r="AJ4" i="6"/>
  <c r="AI21" i="6"/>
  <c r="AM29" i="6"/>
  <c r="AQ19" i="6"/>
  <c r="T27" i="4"/>
  <c r="AJ22" i="6"/>
  <c r="AM25" i="6"/>
  <c r="AM11" i="6"/>
  <c r="AK28" i="6"/>
  <c r="AM12" i="6"/>
  <c r="AQ26" i="6"/>
  <c r="AN21" i="6"/>
  <c r="AQ29" i="6"/>
  <c r="U30" i="4"/>
  <c r="AL20" i="6"/>
  <c r="AJ2" i="6"/>
  <c r="AL19" i="6"/>
  <c r="AN22" i="6"/>
  <c r="AL25" i="6"/>
  <c r="AK11" i="6"/>
  <c r="AM28" i="6"/>
  <c r="AK12" i="6"/>
  <c r="AN26" i="6"/>
  <c r="AJ6" i="6"/>
  <c r="AN20" i="6"/>
  <c r="AK2" i="6"/>
  <c r="AK3" i="6"/>
  <c r="AM21" i="6"/>
  <c r="AJ20" i="6"/>
  <c r="AI2" i="6"/>
  <c r="AO19" i="6"/>
  <c r="AM22" i="6"/>
  <c r="AJ25" i="6"/>
  <c r="AQ11" i="6"/>
  <c r="AP28" i="6"/>
  <c r="AJ12" i="6"/>
  <c r="AM26" i="6"/>
  <c r="AL22" i="6"/>
  <c r="AQ18" i="6"/>
  <c r="AJ11" i="6"/>
  <c r="AL23" i="6"/>
  <c r="AL21" i="6"/>
  <c r="AL10" i="6"/>
  <c r="AM8" i="6"/>
  <c r="AI20" i="6"/>
  <c r="AP22" i="6"/>
  <c r="AK25" i="6"/>
  <c r="AO18" i="6"/>
  <c r="AN11" i="6"/>
  <c r="AL28" i="6"/>
  <c r="AK23" i="6"/>
  <c r="AJ26" i="6"/>
  <c r="AN19" i="6"/>
  <c r="AO3" i="6"/>
  <c r="AP9" i="6"/>
  <c r="AQ3" i="6"/>
  <c r="AK9" i="6"/>
  <c r="AK21" i="6"/>
  <c r="AJ10" i="6"/>
  <c r="T30" i="4"/>
  <c r="AP8" i="6"/>
  <c r="AK20" i="6"/>
  <c r="AO22" i="6"/>
  <c r="AI25" i="6"/>
  <c r="AK18" i="6"/>
  <c r="AL11" i="6"/>
  <c r="AO28" i="6"/>
  <c r="AO23" i="6"/>
  <c r="AO26" i="6"/>
  <c r="AN3" i="6"/>
  <c r="AJ9" i="6"/>
  <c r="AJ21" i="6"/>
  <c r="AO10" i="6"/>
  <c r="AN8" i="6"/>
  <c r="AQ20" i="6"/>
  <c r="U31" i="4"/>
  <c r="AP24" i="6"/>
  <c r="AI22" i="6"/>
  <c r="AQ25" i="6"/>
  <c r="AL18" i="6"/>
  <c r="AI11" i="6"/>
  <c r="AQ28" i="6"/>
  <c r="AN23" i="6"/>
  <c r="AI29" i="6"/>
  <c r="AL2" i="6"/>
  <c r="AI30" i="6"/>
  <c r="AK26" i="6"/>
  <c r="AO21" i="6"/>
  <c r="T29" i="4"/>
  <c r="AO25" i="6"/>
  <c r="AM3" i="6"/>
  <c r="AI9" i="6"/>
  <c r="AP17" i="6"/>
  <c r="AN10" i="6"/>
  <c r="AK8" i="6"/>
  <c r="AO20" i="6"/>
  <c r="AN24" i="6"/>
  <c r="AK22" i="6"/>
  <c r="AP25" i="6"/>
  <c r="AJ18" i="6"/>
  <c r="AO11" i="6"/>
  <c r="AN28" i="6"/>
  <c r="AJ23" i="6"/>
  <c r="T28" i="4"/>
  <c r="V30" i="4"/>
  <c r="AL3" i="6"/>
  <c r="AO9" i="6"/>
  <c r="AK17" i="6"/>
  <c r="AQ10" i="6"/>
  <c r="AL8" i="6"/>
  <c r="AO14" i="6"/>
  <c r="V31" i="4"/>
  <c r="T31" i="4"/>
  <c r="AO24" i="6"/>
  <c r="U29" i="4"/>
  <c r="AI18" i="6"/>
  <c r="AQ7" i="6"/>
  <c r="AP23" i="6"/>
  <c r="V27" i="4"/>
  <c r="AI8" i="6"/>
  <c r="AP11" i="6"/>
  <c r="AM20" i="6"/>
  <c r="AQ22" i="6"/>
  <c r="AJ3" i="6"/>
  <c r="AQ9" i="6"/>
  <c r="AL17" i="6"/>
  <c r="AI10" i="6"/>
  <c r="AO8" i="6"/>
  <c r="AL14" i="6"/>
  <c r="AJ24" i="6"/>
  <c r="AP18" i="6"/>
  <c r="AN7" i="6"/>
  <c r="AM23" i="6"/>
  <c r="AN9" i="6"/>
  <c r="AM17" i="6"/>
  <c r="AM10" i="6"/>
  <c r="AQ8" i="6"/>
  <c r="AJ14" i="6"/>
  <c r="AL24" i="6"/>
  <c r="AN18" i="6"/>
  <c r="AP7" i="6"/>
  <c r="AI23" i="6"/>
  <c r="AM9" i="6"/>
  <c r="AN17" i="6"/>
  <c r="AK10" i="6"/>
  <c r="AI14" i="6"/>
  <c r="AI27" i="6"/>
  <c r="AK24" i="6"/>
  <c r="AL13" i="6"/>
  <c r="AM7" i="6"/>
  <c r="U28" i="4"/>
  <c r="AK31" i="6"/>
  <c r="AI3" i="6"/>
  <c r="AJ28" i="6"/>
  <c r="AL9" i="6"/>
  <c r="AJ17" i="6"/>
  <c r="AP10" i="6"/>
  <c r="AK14" i="6"/>
  <c r="AO27" i="6"/>
  <c r="AM16" i="6"/>
  <c r="AQ24" i="6"/>
  <c r="AM13" i="6"/>
  <c r="AL7" i="6"/>
  <c r="AP3" i="6"/>
  <c r="AP20" i="6"/>
  <c r="AM18" i="6"/>
  <c r="AI28" i="6"/>
  <c r="AQ23" i="6"/>
  <c r="AJ8" i="6"/>
  <c r="AI17" i="6"/>
  <c r="AN14" i="6"/>
  <c r="AK27" i="6"/>
  <c r="AQ16" i="6"/>
  <c r="AM24" i="6"/>
  <c r="AM5" i="6"/>
  <c r="AI13" i="6"/>
  <c r="AJ7" i="6"/>
  <c r="V28" i="4"/>
  <c r="AO17" i="6"/>
  <c r="AP14" i="6"/>
  <c r="AQ6" i="6"/>
  <c r="AP31" i="6"/>
  <c r="AQ15" i="6"/>
  <c r="AQ27" i="6"/>
  <c r="AM4" i="6"/>
  <c r="AI16" i="6"/>
  <c r="AI24" i="6"/>
  <c r="AO5" i="6"/>
  <c r="AK13" i="6"/>
  <c r="AK7" i="6"/>
  <c r="AJ30" i="6"/>
  <c r="AP26" i="6"/>
  <c r="AP27" i="6"/>
  <c r="AK4" i="6"/>
  <c r="AL16" i="6"/>
  <c r="AQ5" i="6"/>
  <c r="AP13" i="6"/>
  <c r="AI7" i="6"/>
  <c r="AM30" i="6"/>
  <c r="AN15" i="6"/>
  <c r="AI19" i="6"/>
  <c r="AQ12" i="6"/>
  <c r="AL26" i="6"/>
  <c r="AN25" i="6"/>
  <c r="AQ17" i="6"/>
  <c r="AQ14" i="6"/>
  <c r="AM6" i="6"/>
  <c r="AJ31" i="6"/>
  <c r="AP15" i="6"/>
  <c r="AP29" i="6"/>
  <c r="AM14" i="6"/>
  <c r="AL6" i="6"/>
  <c r="AQ31" i="6"/>
  <c r="AM15" i="6"/>
  <c r="AN27" i="6"/>
  <c r="AN4" i="6"/>
  <c r="AK16" i="6"/>
  <c r="AK5" i="6"/>
  <c r="AQ13" i="6"/>
  <c r="AO7" i="6"/>
  <c r="AO30" i="6"/>
  <c r="AO29" i="6"/>
  <c r="AQ2" i="6"/>
  <c r="AP6" i="6"/>
  <c r="AN31" i="6"/>
  <c r="AJ15" i="6"/>
  <c r="AJ27" i="6"/>
  <c r="AP4" i="6"/>
  <c r="AO16" i="6"/>
  <c r="AP5" i="6"/>
  <c r="AJ13" i="6"/>
  <c r="AQ30" i="6"/>
  <c r="AL12" i="6"/>
  <c r="AJ29" i="6"/>
  <c r="AP2" i="6"/>
  <c r="AN6" i="6"/>
  <c r="AI31" i="6"/>
  <c r="AK15" i="6"/>
  <c r="AM27" i="6"/>
  <c r="AI4" i="6"/>
  <c r="AN16" i="6"/>
  <c r="AM19" i="6"/>
  <c r="V29" i="4"/>
  <c r="AI5" i="6"/>
  <c r="AO13" i="6"/>
  <c r="AL30" i="6"/>
  <c r="AP12" i="6"/>
  <c r="AO2" i="6"/>
  <c r="AI6" i="6"/>
  <c r="AO31" i="6"/>
  <c r="AL15" i="6"/>
  <c r="AL27" i="6"/>
  <c r="AQ4" i="6"/>
  <c r="AJ16" i="6"/>
  <c r="AP19" i="6"/>
  <c r="AL5" i="6"/>
  <c r="AN13" i="6"/>
  <c r="AK30" i="6"/>
  <c r="AI12" i="6"/>
  <c r="AQ21" i="6"/>
  <c r="AP21" i="6"/>
  <c r="AL29" i="6"/>
  <c r="AK29" i="6"/>
  <c r="AN2" i="6"/>
  <c r="AO6" i="6"/>
  <c r="AM31" i="6"/>
  <c r="AI15" i="6"/>
  <c r="AO4" i="6"/>
  <c r="AP16" i="6"/>
  <c r="AK19" i="6"/>
  <c r="AJ5" i="6"/>
  <c r="AP30" i="6"/>
  <c r="AO12" i="6"/>
  <c r="W2" i="4"/>
  <c r="W23" i="4"/>
  <c r="W25" i="4"/>
  <c r="W11" i="4"/>
  <c r="W26" i="4"/>
  <c r="W13" i="4"/>
  <c r="W31" i="4"/>
  <c r="W8" i="4"/>
  <c r="W29" i="4"/>
  <c r="W6" i="4"/>
  <c r="W4" i="4"/>
  <c r="W24" i="4"/>
  <c r="W16" i="4"/>
  <c r="W27" i="4"/>
  <c r="W9" i="4"/>
  <c r="W18" i="4"/>
  <c r="W14" i="4"/>
  <c r="W19" i="4"/>
  <c r="W10" i="4"/>
  <c r="W3" i="4"/>
  <c r="W20" i="4"/>
  <c r="W7" i="4"/>
  <c r="W17" i="4"/>
  <c r="W28" i="4"/>
  <c r="W12" i="4"/>
  <c r="W30" i="4"/>
  <c r="W15" i="4"/>
  <c r="W22" i="4"/>
  <c r="W21" i="4"/>
  <c r="W5" i="4"/>
  <c r="V23" i="4"/>
  <c r="V25" i="4"/>
  <c r="U24" i="4"/>
  <c r="U7" i="4"/>
  <c r="U18" i="4"/>
  <c r="U22" i="4"/>
  <c r="V8" i="4"/>
  <c r="V26" i="4"/>
  <c r="V10" i="4"/>
  <c r="V20" i="4"/>
  <c r="V15" i="4"/>
  <c r="V3" i="4"/>
  <c r="V14" i="4"/>
  <c r="U26" i="4"/>
  <c r="U17" i="4"/>
  <c r="V13" i="4"/>
  <c r="U12" i="4"/>
  <c r="V11" i="4"/>
  <c r="U14" i="4"/>
  <c r="V16" i="4"/>
  <c r="U9" i="4"/>
  <c r="U16" i="4"/>
  <c r="U3" i="4"/>
  <c r="U23" i="4"/>
  <c r="V22" i="4"/>
  <c r="U20" i="4"/>
  <c r="V17" i="4"/>
  <c r="U15" i="4"/>
  <c r="V7" i="4"/>
  <c r="U21" i="4"/>
  <c r="U19" i="4"/>
  <c r="V6" i="4"/>
  <c r="V24" i="4"/>
  <c r="U4" i="4"/>
  <c r="V18" i="4"/>
  <c r="U6" i="4"/>
  <c r="U5" i="4"/>
  <c r="U13" i="4"/>
  <c r="V19" i="4"/>
  <c r="U8" i="4"/>
  <c r="U10" i="4"/>
  <c r="V21" i="4"/>
  <c r="V9" i="4"/>
  <c r="U25" i="4"/>
  <c r="U11" i="4"/>
  <c r="V4" i="4"/>
  <c r="V5" i="4"/>
  <c r="V12" i="4"/>
  <c r="V2" i="4"/>
  <c r="U2" i="4"/>
  <c r="T24" i="4"/>
  <c r="T10" i="4"/>
  <c r="T13" i="4"/>
  <c r="T14" i="4"/>
  <c r="T8" i="4"/>
  <c r="T11" i="4"/>
  <c r="T22" i="4"/>
  <c r="T23" i="4"/>
  <c r="T26" i="4"/>
  <c r="T25" i="4"/>
  <c r="T17" i="4"/>
  <c r="T9" i="4"/>
  <c r="T4" i="4"/>
  <c r="T16" i="4"/>
  <c r="T15" i="4"/>
  <c r="T7" i="4"/>
  <c r="T20" i="4"/>
  <c r="T19" i="4"/>
  <c r="T18" i="4"/>
  <c r="T6" i="4"/>
  <c r="T21" i="4"/>
  <c r="T5" i="4"/>
  <c r="T3" i="4"/>
  <c r="T12" i="4"/>
  <c r="T2" i="4"/>
</calcChain>
</file>

<file path=xl/sharedStrings.xml><?xml version="1.0" encoding="utf-8"?>
<sst xmlns="http://schemas.openxmlformats.org/spreadsheetml/2006/main" count="1085" uniqueCount="79">
  <si>
    <t>A1</t>
    <phoneticPr fontId="1" type="noConversion"/>
  </si>
  <si>
    <t>B2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</si>
  <si>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</si>
  <si>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</si>
  <si>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</si>
  <si>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</si>
  <si>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B1</t>
    <phoneticPr fontId="1" type="noConversion"/>
  </si>
  <si>
    <t>B3</t>
    <phoneticPr fontId="1" type="noConversion"/>
  </si>
  <si>
    <t>B4</t>
    <phoneticPr fontId="1" type="noConversion"/>
  </si>
  <si>
    <t>B5</t>
    <phoneticPr fontId="1" type="noConversion"/>
  </si>
  <si>
    <t>C1</t>
    <phoneticPr fontId="1" type="noConversion"/>
  </si>
  <si>
    <t>C2</t>
    <phoneticPr fontId="1" type="noConversion"/>
  </si>
  <si>
    <t>C3</t>
  </si>
  <si>
    <t>C4</t>
  </si>
  <si>
    <t>C5</t>
  </si>
  <si>
    <t>D1</t>
    <phoneticPr fontId="1" type="noConversion"/>
  </si>
  <si>
    <t>E1</t>
    <phoneticPr fontId="1" type="noConversion"/>
  </si>
  <si>
    <t>F1</t>
    <phoneticPr fontId="1" type="noConversion"/>
  </si>
  <si>
    <t>F2</t>
  </si>
  <si>
    <t>F3</t>
  </si>
  <si>
    <t>F4</t>
  </si>
  <si>
    <t>F5</t>
  </si>
  <si>
    <t>E2</t>
  </si>
  <si>
    <t>E3</t>
  </si>
  <si>
    <t>E4</t>
  </si>
  <si>
    <t>E5</t>
  </si>
  <si>
    <t>D2</t>
  </si>
  <si>
    <t>D3</t>
  </si>
  <si>
    <t>D4</t>
  </si>
  <si>
    <t>D5</t>
  </si>
  <si>
    <t>E/C cost</t>
    <phoneticPr fontId="1" type="noConversion"/>
  </si>
  <si>
    <t>Due date deviation</t>
    <phoneticPr fontId="1" type="noConversion"/>
  </si>
  <si>
    <t>Release date deviation</t>
    <phoneticPr fontId="1" type="noConversion"/>
  </si>
  <si>
    <t>Due + Release date deviation</t>
    <phoneticPr fontId="1" type="noConversion"/>
  </si>
  <si>
    <t>OBRKGA+CP</t>
    <phoneticPr fontId="1" type="noConversion"/>
  </si>
  <si>
    <t>RKGA+RKGA</t>
    <phoneticPr fontId="1" type="noConversion"/>
  </si>
  <si>
    <t>BRKGA+BRKGA</t>
    <phoneticPr fontId="1" type="noConversion"/>
  </si>
  <si>
    <t>OBRKGA+OBRKGA</t>
    <phoneticPr fontId="1" type="noConversion"/>
  </si>
  <si>
    <t>SA+CP</t>
    <phoneticPr fontId="1" type="noConversion"/>
  </si>
  <si>
    <t>Tabu+CP</t>
    <phoneticPr fontId="1" type="noConversion"/>
  </si>
  <si>
    <t>EDD+CP</t>
    <phoneticPr fontId="1" type="noConversion"/>
  </si>
  <si>
    <t>SST+CP</t>
    <phoneticPr fontId="1" type="noConversion"/>
  </si>
  <si>
    <t>LA+CP</t>
    <phoneticPr fontId="1" type="noConversion"/>
  </si>
  <si>
    <t>A1</t>
  </si>
  <si>
    <t>A2</t>
  </si>
  <si>
    <t>B1</t>
  </si>
  <si>
    <t>B2</t>
  </si>
  <si>
    <t>B3</t>
  </si>
  <si>
    <t>B4</t>
  </si>
  <si>
    <t>B5</t>
  </si>
  <si>
    <t>C1</t>
  </si>
  <si>
    <t>C2</t>
  </si>
  <si>
    <t>D1</t>
  </si>
  <si>
    <t>E1</t>
  </si>
  <si>
    <t>F1</t>
  </si>
  <si>
    <t>RKGA</t>
    <phoneticPr fontId="1" type="noConversion"/>
  </si>
  <si>
    <t>BRKGA</t>
    <phoneticPr fontId="1" type="noConversion"/>
  </si>
  <si>
    <t>OBRKGA</t>
    <phoneticPr fontId="1" type="noConversion"/>
  </si>
  <si>
    <t>A3</t>
  </si>
  <si>
    <t>A4</t>
  </si>
  <si>
    <t>A5</t>
  </si>
  <si>
    <t>C3</t>
    <phoneticPr fontId="1" type="noConversion"/>
  </si>
  <si>
    <t>C4</t>
    <phoneticPr fontId="1" type="noConversion"/>
  </si>
  <si>
    <t>C5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</si>
  <si>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</si>
  <si>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</si>
  <si>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</si>
  <si>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</si>
  <si>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</si>
  <si>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</si>
  <si>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</si>
  <si>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</si>
  <si>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</si>
  <si>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</si>
  <si>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</si>
  <si>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F5</t>
    <phoneticPr fontId="1" type="noConversion"/>
  </si>
  <si>
    <t>Data instance</t>
    <phoneticPr fontId="1" type="noConversion"/>
  </si>
  <si>
    <t>iter</t>
    <phoneticPr fontId="1" type="noConversion"/>
  </si>
  <si>
    <t>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</si>
</sst>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280B-F397-4E00-A004-8B4BD0211D46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AC66-0C38-44D1-A342-7836F34B925E}">
  <dimension ref="A1:K181"/>
  <sheetViews>
    <sheetView topLeftCell="A51" workbookViewId="0">
      <selection activeCell="O124" sqref="O124"/>
    </sheetView>
  </sheetViews>
  <sheetFormatPr defaultRowHeight="16.5" x14ac:dyDescent="0.3"/>
  <sheetData>
    <row r="1" spans="1:11" x14ac:dyDescent="0.3">
      <c r="E1" t="s">
        <v>55</v>
      </c>
      <c r="F1" t="s">
        <v>56</v>
      </c>
      <c r="G1" t="s">
        <v>57</v>
      </c>
      <c r="I1" t="s">
        <v>55</v>
      </c>
      <c r="J1" t="s">
        <v>56</v>
      </c>
      <c r="K1" t="s">
        <v>57</v>
      </c>
    </row>
    <row r="2" spans="1:11" x14ac:dyDescent="0.3">
      <c r="A2">
        <v>30</v>
      </c>
      <c r="B2">
        <v>3</v>
      </c>
      <c r="C2" t="s">
        <v>0</v>
      </c>
      <c r="D2">
        <v>1</v>
      </c>
      <c r="E2">
        <v>140100</v>
      </c>
      <c r="F2">
        <v>140098</v>
      </c>
      <c r="G2">
        <v>140098</v>
      </c>
      <c r="H2">
        <f>MIN(E2:G31)</f>
        <v>140098</v>
      </c>
      <c r="I2">
        <f>(E2-$H$2)/$H$2*100*1000</f>
        <v>1.4275721280817713</v>
      </c>
      <c r="J2">
        <f t="shared" ref="J2:K2" si="0">(F2-$H$2)/$H$2*100*1000</f>
        <v>0</v>
      </c>
      <c r="K2">
        <f t="shared" si="0"/>
        <v>0</v>
      </c>
    </row>
    <row r="3" spans="1:11" x14ac:dyDescent="0.3">
      <c r="C3" t="s">
        <v>0</v>
      </c>
      <c r="D3">
        <v>2</v>
      </c>
      <c r="E3">
        <v>140100</v>
      </c>
      <c r="F3">
        <v>140098</v>
      </c>
      <c r="G3">
        <v>140098</v>
      </c>
      <c r="I3">
        <f t="shared" ref="I3:I31" si="1">(E3-$H$2)/$H$2*100*1000</f>
        <v>1.4275721280817713</v>
      </c>
      <c r="J3">
        <f t="shared" ref="J3:J31" si="2">(F3-$H$2)/$H$2*100*1000</f>
        <v>0</v>
      </c>
      <c r="K3">
        <f t="shared" ref="K3:K31" si="3">(G3-$H$2)/$H$2*100*1000</f>
        <v>0</v>
      </c>
    </row>
    <row r="4" spans="1:11" x14ac:dyDescent="0.3">
      <c r="C4" t="s">
        <v>43</v>
      </c>
      <c r="D4">
        <v>3</v>
      </c>
      <c r="E4">
        <v>140098</v>
      </c>
      <c r="F4">
        <v>140098</v>
      </c>
      <c r="G4">
        <v>140098</v>
      </c>
      <c r="I4">
        <f t="shared" si="1"/>
        <v>0</v>
      </c>
      <c r="J4">
        <f t="shared" si="2"/>
        <v>0</v>
      </c>
      <c r="K4">
        <f t="shared" si="3"/>
        <v>0</v>
      </c>
    </row>
    <row r="5" spans="1:11" x14ac:dyDescent="0.3">
      <c r="C5" t="s">
        <v>43</v>
      </c>
      <c r="D5">
        <v>4</v>
      </c>
      <c r="E5">
        <v>140098</v>
      </c>
      <c r="F5">
        <v>140100</v>
      </c>
      <c r="G5">
        <v>140098</v>
      </c>
      <c r="I5">
        <f t="shared" si="1"/>
        <v>0</v>
      </c>
      <c r="J5">
        <f t="shared" si="2"/>
        <v>1.4275721280817713</v>
      </c>
      <c r="K5">
        <f t="shared" si="3"/>
        <v>0</v>
      </c>
    </row>
    <row r="6" spans="1:11" x14ac:dyDescent="0.3">
      <c r="C6" t="s">
        <v>43</v>
      </c>
      <c r="D6">
        <v>5</v>
      </c>
      <c r="E6">
        <v>140098</v>
      </c>
      <c r="F6">
        <v>140098</v>
      </c>
      <c r="G6">
        <v>140098</v>
      </c>
      <c r="I6">
        <f t="shared" si="1"/>
        <v>0</v>
      </c>
      <c r="J6">
        <f t="shared" si="2"/>
        <v>0</v>
      </c>
      <c r="K6">
        <f t="shared" si="3"/>
        <v>0</v>
      </c>
    </row>
    <row r="7" spans="1:11" x14ac:dyDescent="0.3">
      <c r="C7" t="s">
        <v>43</v>
      </c>
      <c r="D7">
        <v>6</v>
      </c>
      <c r="E7">
        <v>140098</v>
      </c>
      <c r="F7">
        <v>140100</v>
      </c>
      <c r="G7">
        <v>140098</v>
      </c>
      <c r="I7">
        <f t="shared" si="1"/>
        <v>0</v>
      </c>
      <c r="J7">
        <f t="shared" si="2"/>
        <v>1.4275721280817713</v>
      </c>
      <c r="K7">
        <f t="shared" si="3"/>
        <v>0</v>
      </c>
    </row>
    <row r="8" spans="1:11" x14ac:dyDescent="0.3">
      <c r="C8" t="s">
        <v>43</v>
      </c>
      <c r="D8">
        <v>7</v>
      </c>
      <c r="E8">
        <v>140100</v>
      </c>
      <c r="F8">
        <v>140098</v>
      </c>
      <c r="G8">
        <v>140098</v>
      </c>
      <c r="I8">
        <f t="shared" si="1"/>
        <v>1.4275721280817713</v>
      </c>
      <c r="J8">
        <f t="shared" si="2"/>
        <v>0</v>
      </c>
      <c r="K8">
        <f t="shared" si="3"/>
        <v>0</v>
      </c>
    </row>
    <row r="9" spans="1:11" x14ac:dyDescent="0.3">
      <c r="C9" t="s">
        <v>43</v>
      </c>
      <c r="D9">
        <v>8</v>
      </c>
      <c r="E9">
        <v>140100</v>
      </c>
      <c r="F9">
        <v>140098</v>
      </c>
      <c r="G9">
        <v>140098</v>
      </c>
      <c r="I9">
        <f t="shared" si="1"/>
        <v>1.4275721280817713</v>
      </c>
      <c r="J9">
        <f t="shared" si="2"/>
        <v>0</v>
      </c>
      <c r="K9">
        <f t="shared" si="3"/>
        <v>0</v>
      </c>
    </row>
    <row r="10" spans="1:11" x14ac:dyDescent="0.3">
      <c r="C10" t="s">
        <v>43</v>
      </c>
      <c r="D10">
        <v>9</v>
      </c>
      <c r="E10">
        <v>140098</v>
      </c>
      <c r="F10">
        <v>140100</v>
      </c>
      <c r="G10">
        <v>140098</v>
      </c>
      <c r="I10">
        <f t="shared" si="1"/>
        <v>0</v>
      </c>
      <c r="J10">
        <f t="shared" si="2"/>
        <v>1.4275721280817713</v>
      </c>
      <c r="K10">
        <f t="shared" si="3"/>
        <v>0</v>
      </c>
    </row>
    <row r="11" spans="1:11" x14ac:dyDescent="0.3">
      <c r="C11" t="s">
        <v>43</v>
      </c>
      <c r="D11">
        <v>10</v>
      </c>
      <c r="E11">
        <v>140100</v>
      </c>
      <c r="F11">
        <v>140098</v>
      </c>
      <c r="G11">
        <v>140098</v>
      </c>
      <c r="I11">
        <f t="shared" si="1"/>
        <v>1.4275721280817713</v>
      </c>
      <c r="J11">
        <f t="shared" si="2"/>
        <v>0</v>
      </c>
      <c r="K11">
        <f t="shared" si="3"/>
        <v>0</v>
      </c>
    </row>
    <row r="12" spans="1:11" x14ac:dyDescent="0.3">
      <c r="C12" t="s">
        <v>43</v>
      </c>
      <c r="D12">
        <v>11</v>
      </c>
      <c r="E12">
        <v>140100</v>
      </c>
      <c r="F12">
        <v>140100</v>
      </c>
      <c r="G12">
        <v>140098</v>
      </c>
      <c r="I12">
        <f t="shared" si="1"/>
        <v>1.4275721280817713</v>
      </c>
      <c r="J12">
        <f t="shared" si="2"/>
        <v>1.4275721280817713</v>
      </c>
      <c r="K12">
        <f t="shared" si="3"/>
        <v>0</v>
      </c>
    </row>
    <row r="13" spans="1:11" x14ac:dyDescent="0.3">
      <c r="C13" t="s">
        <v>43</v>
      </c>
      <c r="D13">
        <v>12</v>
      </c>
      <c r="E13">
        <v>140100</v>
      </c>
      <c r="F13">
        <v>140100</v>
      </c>
      <c r="G13">
        <v>140098</v>
      </c>
      <c r="I13">
        <f t="shared" si="1"/>
        <v>1.4275721280817713</v>
      </c>
      <c r="J13">
        <f t="shared" si="2"/>
        <v>1.4275721280817713</v>
      </c>
      <c r="K13">
        <f t="shared" si="3"/>
        <v>0</v>
      </c>
    </row>
    <row r="14" spans="1:11" x14ac:dyDescent="0.3">
      <c r="C14" t="s">
        <v>43</v>
      </c>
      <c r="D14">
        <v>13</v>
      </c>
      <c r="E14">
        <v>140100</v>
      </c>
      <c r="F14">
        <v>140100</v>
      </c>
      <c r="G14">
        <v>140100</v>
      </c>
      <c r="I14">
        <f t="shared" si="1"/>
        <v>1.4275721280817713</v>
      </c>
      <c r="J14">
        <f t="shared" si="2"/>
        <v>1.4275721280817713</v>
      </c>
      <c r="K14">
        <f t="shared" si="3"/>
        <v>1.4275721280817713</v>
      </c>
    </row>
    <row r="15" spans="1:11" x14ac:dyDescent="0.3">
      <c r="C15" t="s">
        <v>43</v>
      </c>
      <c r="D15">
        <v>14</v>
      </c>
      <c r="E15">
        <v>140098</v>
      </c>
      <c r="F15">
        <v>140098</v>
      </c>
      <c r="G15">
        <v>140098</v>
      </c>
      <c r="I15">
        <f t="shared" si="1"/>
        <v>0</v>
      </c>
      <c r="J15">
        <f t="shared" si="2"/>
        <v>0</v>
      </c>
      <c r="K15">
        <f t="shared" si="3"/>
        <v>0</v>
      </c>
    </row>
    <row r="16" spans="1:11" x14ac:dyDescent="0.3">
      <c r="C16" t="s">
        <v>43</v>
      </c>
      <c r="D16">
        <v>15</v>
      </c>
      <c r="E16">
        <v>140098</v>
      </c>
      <c r="F16">
        <v>140098</v>
      </c>
      <c r="G16">
        <v>140098</v>
      </c>
      <c r="I16">
        <f t="shared" si="1"/>
        <v>0</v>
      </c>
      <c r="J16">
        <f t="shared" si="2"/>
        <v>0</v>
      </c>
      <c r="K16">
        <f t="shared" si="3"/>
        <v>0</v>
      </c>
    </row>
    <row r="17" spans="1:11" x14ac:dyDescent="0.3">
      <c r="C17" t="s">
        <v>43</v>
      </c>
      <c r="D17">
        <v>16</v>
      </c>
      <c r="E17">
        <v>140098</v>
      </c>
      <c r="F17">
        <v>140098</v>
      </c>
      <c r="G17">
        <v>140098</v>
      </c>
      <c r="I17">
        <f t="shared" si="1"/>
        <v>0</v>
      </c>
      <c r="J17">
        <f t="shared" si="2"/>
        <v>0</v>
      </c>
      <c r="K17">
        <f t="shared" si="3"/>
        <v>0</v>
      </c>
    </row>
    <row r="18" spans="1:11" x14ac:dyDescent="0.3">
      <c r="C18" t="s">
        <v>43</v>
      </c>
      <c r="D18">
        <v>17</v>
      </c>
      <c r="E18">
        <v>140100</v>
      </c>
      <c r="F18">
        <v>140100</v>
      </c>
      <c r="G18">
        <v>140098</v>
      </c>
      <c r="I18">
        <f t="shared" si="1"/>
        <v>1.4275721280817713</v>
      </c>
      <c r="J18">
        <f t="shared" si="2"/>
        <v>1.4275721280817713</v>
      </c>
      <c r="K18">
        <f t="shared" si="3"/>
        <v>0</v>
      </c>
    </row>
    <row r="19" spans="1:11" x14ac:dyDescent="0.3">
      <c r="C19" t="s">
        <v>43</v>
      </c>
      <c r="D19">
        <v>18</v>
      </c>
      <c r="E19">
        <v>140100</v>
      </c>
      <c r="F19">
        <v>140098</v>
      </c>
      <c r="G19">
        <v>140098</v>
      </c>
      <c r="I19">
        <f t="shared" si="1"/>
        <v>1.4275721280817713</v>
      </c>
      <c r="J19">
        <f t="shared" si="2"/>
        <v>0</v>
      </c>
      <c r="K19">
        <f t="shared" si="3"/>
        <v>0</v>
      </c>
    </row>
    <row r="20" spans="1:11" x14ac:dyDescent="0.3">
      <c r="C20" t="s">
        <v>43</v>
      </c>
      <c r="D20">
        <v>19</v>
      </c>
      <c r="E20">
        <v>140098</v>
      </c>
      <c r="F20">
        <v>140098</v>
      </c>
      <c r="G20">
        <v>140098</v>
      </c>
      <c r="I20">
        <f t="shared" si="1"/>
        <v>0</v>
      </c>
      <c r="J20">
        <f t="shared" si="2"/>
        <v>0</v>
      </c>
      <c r="K20">
        <f t="shared" si="3"/>
        <v>0</v>
      </c>
    </row>
    <row r="21" spans="1:11" x14ac:dyDescent="0.3">
      <c r="C21" t="s">
        <v>43</v>
      </c>
      <c r="D21">
        <v>20</v>
      </c>
      <c r="E21">
        <v>140098</v>
      </c>
      <c r="F21">
        <v>140098</v>
      </c>
      <c r="G21">
        <v>140098</v>
      </c>
      <c r="I21">
        <f t="shared" si="1"/>
        <v>0</v>
      </c>
      <c r="J21">
        <f t="shared" si="2"/>
        <v>0</v>
      </c>
      <c r="K21">
        <f t="shared" si="3"/>
        <v>0</v>
      </c>
    </row>
    <row r="22" spans="1:11" x14ac:dyDescent="0.3">
      <c r="C22" t="s">
        <v>43</v>
      </c>
      <c r="D22">
        <v>21</v>
      </c>
      <c r="E22">
        <v>140098</v>
      </c>
      <c r="F22">
        <v>140098</v>
      </c>
      <c r="G22">
        <v>140098</v>
      </c>
      <c r="I22">
        <f t="shared" si="1"/>
        <v>0</v>
      </c>
      <c r="J22">
        <f t="shared" si="2"/>
        <v>0</v>
      </c>
      <c r="K22">
        <f t="shared" si="3"/>
        <v>0</v>
      </c>
    </row>
    <row r="23" spans="1:11" x14ac:dyDescent="0.3">
      <c r="C23" t="s">
        <v>43</v>
      </c>
      <c r="D23">
        <v>22</v>
      </c>
      <c r="E23">
        <v>140100</v>
      </c>
      <c r="F23">
        <v>140098</v>
      </c>
      <c r="G23">
        <v>140098</v>
      </c>
      <c r="I23">
        <f t="shared" si="1"/>
        <v>1.4275721280817713</v>
      </c>
      <c r="J23">
        <f t="shared" si="2"/>
        <v>0</v>
      </c>
      <c r="K23">
        <f t="shared" si="3"/>
        <v>0</v>
      </c>
    </row>
    <row r="24" spans="1:11" x14ac:dyDescent="0.3">
      <c r="C24" t="s">
        <v>43</v>
      </c>
      <c r="D24">
        <v>23</v>
      </c>
      <c r="E24">
        <v>140098</v>
      </c>
      <c r="F24">
        <v>140098</v>
      </c>
      <c r="G24">
        <v>140098</v>
      </c>
      <c r="I24">
        <f t="shared" si="1"/>
        <v>0</v>
      </c>
      <c r="J24">
        <f t="shared" si="2"/>
        <v>0</v>
      </c>
      <c r="K24">
        <f t="shared" si="3"/>
        <v>0</v>
      </c>
    </row>
    <row r="25" spans="1:11" x14ac:dyDescent="0.3">
      <c r="C25" t="s">
        <v>43</v>
      </c>
      <c r="D25">
        <v>24</v>
      </c>
      <c r="E25">
        <v>140100</v>
      </c>
      <c r="F25">
        <v>140098</v>
      </c>
      <c r="G25">
        <v>140098</v>
      </c>
      <c r="I25">
        <f t="shared" si="1"/>
        <v>1.4275721280817713</v>
      </c>
      <c r="J25">
        <f t="shared" si="2"/>
        <v>0</v>
      </c>
      <c r="K25">
        <f t="shared" si="3"/>
        <v>0</v>
      </c>
    </row>
    <row r="26" spans="1:11" x14ac:dyDescent="0.3">
      <c r="C26" t="s">
        <v>43</v>
      </c>
      <c r="D26">
        <v>25</v>
      </c>
      <c r="E26">
        <v>140098</v>
      </c>
      <c r="F26">
        <v>140098</v>
      </c>
      <c r="G26">
        <v>140098</v>
      </c>
      <c r="I26">
        <f t="shared" si="1"/>
        <v>0</v>
      </c>
      <c r="J26">
        <f t="shared" si="2"/>
        <v>0</v>
      </c>
      <c r="K26">
        <f t="shared" si="3"/>
        <v>0</v>
      </c>
    </row>
    <row r="27" spans="1:11" x14ac:dyDescent="0.3">
      <c r="C27" t="s">
        <v>43</v>
      </c>
      <c r="D27">
        <v>26</v>
      </c>
      <c r="E27">
        <v>140098</v>
      </c>
      <c r="F27">
        <v>140100</v>
      </c>
      <c r="G27">
        <v>140098</v>
      </c>
      <c r="I27">
        <f t="shared" si="1"/>
        <v>0</v>
      </c>
      <c r="J27">
        <f t="shared" si="2"/>
        <v>1.4275721280817713</v>
      </c>
      <c r="K27">
        <f t="shared" si="3"/>
        <v>0</v>
      </c>
    </row>
    <row r="28" spans="1:11" x14ac:dyDescent="0.3">
      <c r="C28" t="s">
        <v>43</v>
      </c>
      <c r="D28">
        <v>27</v>
      </c>
      <c r="E28">
        <v>140098</v>
      </c>
      <c r="F28">
        <v>140098</v>
      </c>
      <c r="G28">
        <v>140098</v>
      </c>
      <c r="I28">
        <f t="shared" si="1"/>
        <v>0</v>
      </c>
      <c r="J28">
        <f t="shared" si="2"/>
        <v>0</v>
      </c>
      <c r="K28">
        <f t="shared" si="3"/>
        <v>0</v>
      </c>
    </row>
    <row r="29" spans="1:11" x14ac:dyDescent="0.3">
      <c r="C29" t="s">
        <v>43</v>
      </c>
      <c r="D29">
        <v>28</v>
      </c>
      <c r="E29">
        <v>140100</v>
      </c>
      <c r="F29">
        <v>140098</v>
      </c>
      <c r="G29">
        <v>140098</v>
      </c>
      <c r="I29">
        <f t="shared" si="1"/>
        <v>1.4275721280817713</v>
      </c>
      <c r="J29">
        <f t="shared" si="2"/>
        <v>0</v>
      </c>
      <c r="K29">
        <f t="shared" si="3"/>
        <v>0</v>
      </c>
    </row>
    <row r="30" spans="1:11" x14ac:dyDescent="0.3">
      <c r="C30" t="s">
        <v>43</v>
      </c>
      <c r="D30">
        <v>29</v>
      </c>
      <c r="E30">
        <v>140100</v>
      </c>
      <c r="F30">
        <v>140100</v>
      </c>
      <c r="G30">
        <v>140098</v>
      </c>
      <c r="I30">
        <f t="shared" si="1"/>
        <v>1.4275721280817713</v>
      </c>
      <c r="J30">
        <f t="shared" si="2"/>
        <v>1.4275721280817713</v>
      </c>
      <c r="K30">
        <f t="shared" si="3"/>
        <v>0</v>
      </c>
    </row>
    <row r="31" spans="1:11" x14ac:dyDescent="0.3">
      <c r="C31" t="s">
        <v>43</v>
      </c>
      <c r="D31">
        <v>30</v>
      </c>
      <c r="E31">
        <v>140098</v>
      </c>
      <c r="F31">
        <v>140100</v>
      </c>
      <c r="G31">
        <v>140098</v>
      </c>
      <c r="I31">
        <f t="shared" si="1"/>
        <v>0</v>
      </c>
      <c r="J31">
        <f t="shared" si="2"/>
        <v>1.4275721280817713</v>
      </c>
      <c r="K31">
        <f t="shared" si="3"/>
        <v>0</v>
      </c>
    </row>
    <row r="32" spans="1:11" x14ac:dyDescent="0.3">
      <c r="A32">
        <v>30</v>
      </c>
      <c r="B32">
        <v>6</v>
      </c>
      <c r="C32" t="s">
        <v>6</v>
      </c>
      <c r="D32">
        <v>1</v>
      </c>
      <c r="E32">
        <v>100127</v>
      </c>
      <c r="F32">
        <v>100127</v>
      </c>
      <c r="G32">
        <v>100127</v>
      </c>
      <c r="H32">
        <f>MIN(E32:G61)</f>
        <v>100127</v>
      </c>
      <c r="I32">
        <f>(E32-$H$32)/E32*100*1000</f>
        <v>0</v>
      </c>
      <c r="J32">
        <f t="shared" ref="J32:K47" si="4">(F32-$H$32)/F32*100*1000</f>
        <v>0</v>
      </c>
      <c r="K32">
        <f t="shared" si="4"/>
        <v>0</v>
      </c>
    </row>
    <row r="33" spans="3:11" x14ac:dyDescent="0.3">
      <c r="C33" t="s">
        <v>6</v>
      </c>
      <c r="D33">
        <v>2</v>
      </c>
      <c r="E33">
        <v>100127</v>
      </c>
      <c r="F33">
        <v>100127</v>
      </c>
      <c r="G33">
        <v>100127</v>
      </c>
      <c r="I33">
        <f t="shared" ref="I33:I61" si="5">(E33-$H$32)/E33*100*1000</f>
        <v>0</v>
      </c>
      <c r="J33">
        <f t="shared" si="4"/>
        <v>0</v>
      </c>
      <c r="K33">
        <f t="shared" si="4"/>
        <v>0</v>
      </c>
    </row>
    <row r="34" spans="3:11" x14ac:dyDescent="0.3">
      <c r="C34" t="s">
        <v>6</v>
      </c>
      <c r="D34">
        <v>3</v>
      </c>
      <c r="E34">
        <v>100130</v>
      </c>
      <c r="F34">
        <v>100127</v>
      </c>
      <c r="G34">
        <v>100127</v>
      </c>
      <c r="I34">
        <f t="shared" si="5"/>
        <v>2.9961050634175574</v>
      </c>
      <c r="J34">
        <f t="shared" si="4"/>
        <v>0</v>
      </c>
      <c r="K34">
        <f t="shared" si="4"/>
        <v>0</v>
      </c>
    </row>
    <row r="35" spans="3:11" x14ac:dyDescent="0.3">
      <c r="C35" t="s">
        <v>6</v>
      </c>
      <c r="D35">
        <v>4</v>
      </c>
      <c r="E35">
        <v>100130</v>
      </c>
      <c r="F35">
        <v>100127</v>
      </c>
      <c r="G35">
        <v>100127</v>
      </c>
      <c r="I35">
        <f t="shared" si="5"/>
        <v>2.9961050634175574</v>
      </c>
      <c r="J35">
        <f t="shared" si="4"/>
        <v>0</v>
      </c>
      <c r="K35">
        <f t="shared" si="4"/>
        <v>0</v>
      </c>
    </row>
    <row r="36" spans="3:11" x14ac:dyDescent="0.3">
      <c r="C36" t="s">
        <v>6</v>
      </c>
      <c r="D36">
        <v>5</v>
      </c>
      <c r="E36">
        <v>100130</v>
      </c>
      <c r="F36">
        <v>100127</v>
      </c>
      <c r="G36">
        <v>100127</v>
      </c>
      <c r="I36">
        <f t="shared" si="5"/>
        <v>2.9961050634175574</v>
      </c>
      <c r="J36">
        <f t="shared" si="4"/>
        <v>0</v>
      </c>
      <c r="K36">
        <f t="shared" si="4"/>
        <v>0</v>
      </c>
    </row>
    <row r="37" spans="3:11" x14ac:dyDescent="0.3">
      <c r="C37" t="s">
        <v>6</v>
      </c>
      <c r="D37">
        <v>6</v>
      </c>
      <c r="E37">
        <v>100127</v>
      </c>
      <c r="F37">
        <v>100127</v>
      </c>
      <c r="G37">
        <v>100127</v>
      </c>
      <c r="I37">
        <f t="shared" si="5"/>
        <v>0</v>
      </c>
      <c r="J37">
        <f t="shared" si="4"/>
        <v>0</v>
      </c>
      <c r="K37">
        <f t="shared" si="4"/>
        <v>0</v>
      </c>
    </row>
    <row r="38" spans="3:11" x14ac:dyDescent="0.3">
      <c r="C38" t="s">
        <v>6</v>
      </c>
      <c r="D38">
        <v>7</v>
      </c>
      <c r="E38">
        <v>100127</v>
      </c>
      <c r="F38">
        <v>100127</v>
      </c>
      <c r="G38">
        <v>100127</v>
      </c>
      <c r="I38">
        <f t="shared" si="5"/>
        <v>0</v>
      </c>
      <c r="J38">
        <f t="shared" si="4"/>
        <v>0</v>
      </c>
      <c r="K38">
        <f t="shared" si="4"/>
        <v>0</v>
      </c>
    </row>
    <row r="39" spans="3:11" x14ac:dyDescent="0.3">
      <c r="C39" t="s">
        <v>6</v>
      </c>
      <c r="D39">
        <v>8</v>
      </c>
      <c r="E39">
        <v>100127</v>
      </c>
      <c r="F39">
        <v>100127</v>
      </c>
      <c r="G39">
        <v>100127</v>
      </c>
      <c r="I39">
        <f t="shared" si="5"/>
        <v>0</v>
      </c>
      <c r="J39">
        <f t="shared" si="4"/>
        <v>0</v>
      </c>
      <c r="K39">
        <f t="shared" si="4"/>
        <v>0</v>
      </c>
    </row>
    <row r="40" spans="3:11" x14ac:dyDescent="0.3">
      <c r="C40" t="s">
        <v>6</v>
      </c>
      <c r="D40">
        <v>9</v>
      </c>
      <c r="E40">
        <v>100130</v>
      </c>
      <c r="F40">
        <v>100130</v>
      </c>
      <c r="G40">
        <v>100127</v>
      </c>
      <c r="I40">
        <f t="shared" si="5"/>
        <v>2.9961050634175574</v>
      </c>
      <c r="J40">
        <f t="shared" si="4"/>
        <v>2.9961050634175574</v>
      </c>
      <c r="K40">
        <f t="shared" si="4"/>
        <v>0</v>
      </c>
    </row>
    <row r="41" spans="3:11" x14ac:dyDescent="0.3">
      <c r="C41" t="s">
        <v>6</v>
      </c>
      <c r="D41">
        <v>10</v>
      </c>
      <c r="E41">
        <v>100127</v>
      </c>
      <c r="F41">
        <v>100130</v>
      </c>
      <c r="G41">
        <v>100127</v>
      </c>
      <c r="I41">
        <f t="shared" si="5"/>
        <v>0</v>
      </c>
      <c r="J41">
        <f t="shared" si="4"/>
        <v>2.9961050634175574</v>
      </c>
      <c r="K41">
        <f t="shared" si="4"/>
        <v>0</v>
      </c>
    </row>
    <row r="42" spans="3:11" x14ac:dyDescent="0.3">
      <c r="C42" t="s">
        <v>6</v>
      </c>
      <c r="D42">
        <v>11</v>
      </c>
      <c r="E42">
        <v>100127</v>
      </c>
      <c r="F42">
        <v>100130</v>
      </c>
      <c r="G42">
        <v>100127</v>
      </c>
      <c r="I42">
        <f t="shared" si="5"/>
        <v>0</v>
      </c>
      <c r="J42">
        <f t="shared" si="4"/>
        <v>2.9961050634175574</v>
      </c>
      <c r="K42">
        <f t="shared" si="4"/>
        <v>0</v>
      </c>
    </row>
    <row r="43" spans="3:11" x14ac:dyDescent="0.3">
      <c r="C43" t="s">
        <v>6</v>
      </c>
      <c r="D43">
        <v>12</v>
      </c>
      <c r="E43">
        <v>100127</v>
      </c>
      <c r="F43">
        <v>100127</v>
      </c>
      <c r="G43">
        <v>100127</v>
      </c>
      <c r="I43">
        <f t="shared" si="5"/>
        <v>0</v>
      </c>
      <c r="J43">
        <f t="shared" si="4"/>
        <v>0</v>
      </c>
      <c r="K43">
        <f t="shared" si="4"/>
        <v>0</v>
      </c>
    </row>
    <row r="44" spans="3:11" x14ac:dyDescent="0.3">
      <c r="C44" t="s">
        <v>6</v>
      </c>
      <c r="D44">
        <v>13</v>
      </c>
      <c r="E44">
        <v>100127</v>
      </c>
      <c r="F44">
        <v>100130</v>
      </c>
      <c r="G44">
        <v>100127</v>
      </c>
      <c r="I44">
        <f t="shared" si="5"/>
        <v>0</v>
      </c>
      <c r="J44">
        <f t="shared" si="4"/>
        <v>2.9961050634175574</v>
      </c>
      <c r="K44">
        <f t="shared" si="4"/>
        <v>0</v>
      </c>
    </row>
    <row r="45" spans="3:11" x14ac:dyDescent="0.3">
      <c r="C45" t="s">
        <v>6</v>
      </c>
      <c r="D45">
        <v>14</v>
      </c>
      <c r="E45">
        <v>100127</v>
      </c>
      <c r="F45">
        <v>100127</v>
      </c>
      <c r="G45">
        <v>100127</v>
      </c>
      <c r="I45">
        <f t="shared" si="5"/>
        <v>0</v>
      </c>
      <c r="J45">
        <f t="shared" si="4"/>
        <v>0</v>
      </c>
      <c r="K45">
        <f t="shared" si="4"/>
        <v>0</v>
      </c>
    </row>
    <row r="46" spans="3:11" x14ac:dyDescent="0.3">
      <c r="C46" t="s">
        <v>6</v>
      </c>
      <c r="D46">
        <v>15</v>
      </c>
      <c r="E46">
        <v>100127</v>
      </c>
      <c r="F46">
        <v>100127</v>
      </c>
      <c r="G46">
        <v>100127</v>
      </c>
      <c r="I46">
        <f t="shared" si="5"/>
        <v>0</v>
      </c>
      <c r="J46">
        <f t="shared" si="4"/>
        <v>0</v>
      </c>
      <c r="K46">
        <f t="shared" si="4"/>
        <v>0</v>
      </c>
    </row>
    <row r="47" spans="3:11" x14ac:dyDescent="0.3">
      <c r="C47" t="s">
        <v>6</v>
      </c>
      <c r="D47">
        <v>16</v>
      </c>
      <c r="E47">
        <v>100127</v>
      </c>
      <c r="F47">
        <v>100130</v>
      </c>
      <c r="G47">
        <v>100127</v>
      </c>
      <c r="I47">
        <f t="shared" si="5"/>
        <v>0</v>
      </c>
      <c r="J47">
        <f t="shared" si="4"/>
        <v>2.9961050634175574</v>
      </c>
      <c r="K47">
        <f t="shared" si="4"/>
        <v>0</v>
      </c>
    </row>
    <row r="48" spans="3:11" x14ac:dyDescent="0.3">
      <c r="C48" t="s">
        <v>6</v>
      </c>
      <c r="D48">
        <v>17</v>
      </c>
      <c r="E48">
        <v>100130</v>
      </c>
      <c r="F48">
        <v>100127</v>
      </c>
      <c r="G48">
        <v>100127</v>
      </c>
      <c r="I48">
        <f t="shared" si="5"/>
        <v>2.9961050634175574</v>
      </c>
      <c r="J48">
        <f t="shared" ref="J48:J61" si="6">(F48-$H$32)/F48*100*1000</f>
        <v>0</v>
      </c>
      <c r="K48">
        <f t="shared" ref="K48:K61" si="7">(G48-$H$32)/G48*100*1000</f>
        <v>0</v>
      </c>
    </row>
    <row r="49" spans="1:11" x14ac:dyDescent="0.3">
      <c r="C49" t="s">
        <v>6</v>
      </c>
      <c r="D49">
        <v>18</v>
      </c>
      <c r="E49">
        <v>100127</v>
      </c>
      <c r="F49">
        <v>100127</v>
      </c>
      <c r="G49">
        <v>100127</v>
      </c>
      <c r="I49">
        <f t="shared" si="5"/>
        <v>0</v>
      </c>
      <c r="J49">
        <f t="shared" si="6"/>
        <v>0</v>
      </c>
      <c r="K49">
        <f t="shared" si="7"/>
        <v>0</v>
      </c>
    </row>
    <row r="50" spans="1:11" x14ac:dyDescent="0.3">
      <c r="C50" t="s">
        <v>6</v>
      </c>
      <c r="D50">
        <v>19</v>
      </c>
      <c r="E50">
        <v>100127</v>
      </c>
      <c r="F50">
        <v>100130</v>
      </c>
      <c r="G50">
        <v>100127</v>
      </c>
      <c r="I50">
        <f t="shared" si="5"/>
        <v>0</v>
      </c>
      <c r="J50">
        <f t="shared" si="6"/>
        <v>2.9961050634175574</v>
      </c>
      <c r="K50">
        <f t="shared" si="7"/>
        <v>0</v>
      </c>
    </row>
    <row r="51" spans="1:11" x14ac:dyDescent="0.3">
      <c r="C51" t="s">
        <v>6</v>
      </c>
      <c r="D51">
        <v>20</v>
      </c>
      <c r="E51">
        <v>100127</v>
      </c>
      <c r="F51">
        <v>100130</v>
      </c>
      <c r="G51">
        <v>100127</v>
      </c>
      <c r="I51">
        <f t="shared" si="5"/>
        <v>0</v>
      </c>
      <c r="J51">
        <f t="shared" si="6"/>
        <v>2.9961050634175574</v>
      </c>
      <c r="K51">
        <f t="shared" si="7"/>
        <v>0</v>
      </c>
    </row>
    <row r="52" spans="1:11" x14ac:dyDescent="0.3">
      <c r="C52" t="s">
        <v>6</v>
      </c>
      <c r="D52">
        <v>21</v>
      </c>
      <c r="E52">
        <v>100127</v>
      </c>
      <c r="F52">
        <v>100127</v>
      </c>
      <c r="G52">
        <v>100127</v>
      </c>
      <c r="I52">
        <f t="shared" si="5"/>
        <v>0</v>
      </c>
      <c r="J52">
        <f t="shared" si="6"/>
        <v>0</v>
      </c>
      <c r="K52">
        <f t="shared" si="7"/>
        <v>0</v>
      </c>
    </row>
    <row r="53" spans="1:11" x14ac:dyDescent="0.3">
      <c r="C53" t="s">
        <v>6</v>
      </c>
      <c r="D53">
        <v>22</v>
      </c>
      <c r="E53">
        <v>100127</v>
      </c>
      <c r="F53">
        <v>100130</v>
      </c>
      <c r="G53">
        <v>100127</v>
      </c>
      <c r="I53">
        <f t="shared" si="5"/>
        <v>0</v>
      </c>
      <c r="J53">
        <f t="shared" si="6"/>
        <v>2.9961050634175574</v>
      </c>
      <c r="K53">
        <f t="shared" si="7"/>
        <v>0</v>
      </c>
    </row>
    <row r="54" spans="1:11" x14ac:dyDescent="0.3">
      <c r="C54" t="s">
        <v>6</v>
      </c>
      <c r="D54">
        <v>23</v>
      </c>
      <c r="E54">
        <v>100127</v>
      </c>
      <c r="F54">
        <v>100127</v>
      </c>
      <c r="G54">
        <v>100127</v>
      </c>
      <c r="I54">
        <f t="shared" si="5"/>
        <v>0</v>
      </c>
      <c r="J54">
        <f t="shared" si="6"/>
        <v>0</v>
      </c>
      <c r="K54">
        <f t="shared" si="7"/>
        <v>0</v>
      </c>
    </row>
    <row r="55" spans="1:11" x14ac:dyDescent="0.3">
      <c r="C55" t="s">
        <v>6</v>
      </c>
      <c r="D55">
        <v>24</v>
      </c>
      <c r="E55">
        <v>100127</v>
      </c>
      <c r="F55">
        <v>100130</v>
      </c>
      <c r="G55">
        <v>100127</v>
      </c>
      <c r="I55">
        <f t="shared" si="5"/>
        <v>0</v>
      </c>
      <c r="J55">
        <f t="shared" si="6"/>
        <v>2.9961050634175574</v>
      </c>
      <c r="K55">
        <f t="shared" si="7"/>
        <v>0</v>
      </c>
    </row>
    <row r="56" spans="1:11" x14ac:dyDescent="0.3">
      <c r="C56" t="s">
        <v>6</v>
      </c>
      <c r="D56">
        <v>25</v>
      </c>
      <c r="E56">
        <v>100127</v>
      </c>
      <c r="F56">
        <v>100127</v>
      </c>
      <c r="G56">
        <v>100127</v>
      </c>
      <c r="I56">
        <f t="shared" si="5"/>
        <v>0</v>
      </c>
      <c r="J56">
        <f t="shared" si="6"/>
        <v>0</v>
      </c>
      <c r="K56">
        <f t="shared" si="7"/>
        <v>0</v>
      </c>
    </row>
    <row r="57" spans="1:11" x14ac:dyDescent="0.3">
      <c r="C57" t="s">
        <v>6</v>
      </c>
      <c r="D57">
        <v>26</v>
      </c>
      <c r="E57">
        <v>100127</v>
      </c>
      <c r="F57">
        <v>100127</v>
      </c>
      <c r="G57">
        <v>100127</v>
      </c>
      <c r="I57">
        <f t="shared" si="5"/>
        <v>0</v>
      </c>
      <c r="J57">
        <f t="shared" si="6"/>
        <v>0</v>
      </c>
      <c r="K57">
        <f t="shared" si="7"/>
        <v>0</v>
      </c>
    </row>
    <row r="58" spans="1:11" x14ac:dyDescent="0.3">
      <c r="C58" t="s">
        <v>6</v>
      </c>
      <c r="D58">
        <v>27</v>
      </c>
      <c r="E58">
        <v>100127</v>
      </c>
      <c r="F58">
        <v>100127</v>
      </c>
      <c r="G58">
        <v>100127</v>
      </c>
      <c r="I58">
        <f t="shared" si="5"/>
        <v>0</v>
      </c>
      <c r="J58">
        <f t="shared" si="6"/>
        <v>0</v>
      </c>
      <c r="K58">
        <f t="shared" si="7"/>
        <v>0</v>
      </c>
    </row>
    <row r="59" spans="1:11" x14ac:dyDescent="0.3">
      <c r="C59" t="s">
        <v>6</v>
      </c>
      <c r="D59">
        <v>28</v>
      </c>
      <c r="E59">
        <v>100130</v>
      </c>
      <c r="F59">
        <v>100127</v>
      </c>
      <c r="G59">
        <v>100127</v>
      </c>
      <c r="I59">
        <f t="shared" si="5"/>
        <v>2.9961050634175574</v>
      </c>
      <c r="J59">
        <f t="shared" si="6"/>
        <v>0</v>
      </c>
      <c r="K59">
        <f t="shared" si="7"/>
        <v>0</v>
      </c>
    </row>
    <row r="60" spans="1:11" x14ac:dyDescent="0.3">
      <c r="C60" t="s">
        <v>6</v>
      </c>
      <c r="D60">
        <v>29</v>
      </c>
      <c r="E60">
        <v>100127</v>
      </c>
      <c r="F60">
        <v>100130</v>
      </c>
      <c r="G60">
        <v>100127</v>
      </c>
      <c r="I60">
        <f t="shared" si="5"/>
        <v>0</v>
      </c>
      <c r="J60">
        <f t="shared" si="6"/>
        <v>2.9961050634175574</v>
      </c>
      <c r="K60">
        <f t="shared" si="7"/>
        <v>0</v>
      </c>
    </row>
    <row r="61" spans="1:11" x14ac:dyDescent="0.3">
      <c r="C61" t="s">
        <v>6</v>
      </c>
      <c r="D61">
        <v>30</v>
      </c>
      <c r="E61">
        <v>100127</v>
      </c>
      <c r="F61">
        <v>100127</v>
      </c>
      <c r="G61">
        <v>100130</v>
      </c>
      <c r="I61">
        <f t="shared" si="5"/>
        <v>0</v>
      </c>
      <c r="J61">
        <f t="shared" si="6"/>
        <v>0</v>
      </c>
      <c r="K61">
        <f t="shared" si="7"/>
        <v>2.9961050634175574</v>
      </c>
    </row>
    <row r="62" spans="1:11" x14ac:dyDescent="0.3">
      <c r="A62">
        <v>60</v>
      </c>
      <c r="B62">
        <v>3</v>
      </c>
      <c r="C62" t="s">
        <v>10</v>
      </c>
      <c r="D62">
        <v>1</v>
      </c>
      <c r="E62">
        <v>210428</v>
      </c>
      <c r="F62">
        <v>210418</v>
      </c>
      <c r="G62">
        <v>210357</v>
      </c>
      <c r="H62">
        <f>MIN(E62:G91)</f>
        <v>210354</v>
      </c>
      <c r="I62">
        <f>(E62-$H$62)/E62*100*1000</f>
        <v>35.166422719409965</v>
      </c>
      <c r="J62">
        <f t="shared" ref="J62:K77" si="8">(F62-$H$62)/F62*100*1000</f>
        <v>30.415648851334009</v>
      </c>
      <c r="K62">
        <f t="shared" si="8"/>
        <v>1.4261469787076257</v>
      </c>
    </row>
    <row r="63" spans="1:11" x14ac:dyDescent="0.3">
      <c r="C63" t="s">
        <v>10</v>
      </c>
      <c r="D63">
        <v>2</v>
      </c>
      <c r="E63">
        <v>210434</v>
      </c>
      <c r="F63">
        <v>210365</v>
      </c>
      <c r="G63">
        <v>210375</v>
      </c>
      <c r="I63">
        <f t="shared" ref="I63:I91" si="9">(E63-$H$62)/E63*100*1000</f>
        <v>38.016670309930902</v>
      </c>
      <c r="J63">
        <f t="shared" si="8"/>
        <v>5.2290067264041076</v>
      </c>
      <c r="K63">
        <f t="shared" si="8"/>
        <v>9.9821746880570412</v>
      </c>
    </row>
    <row r="64" spans="1:11" x14ac:dyDescent="0.3">
      <c r="C64" t="s">
        <v>10</v>
      </c>
      <c r="D64">
        <v>3</v>
      </c>
      <c r="E64">
        <v>210438</v>
      </c>
      <c r="F64">
        <v>210379</v>
      </c>
      <c r="G64">
        <v>210373</v>
      </c>
      <c r="I64">
        <f t="shared" si="9"/>
        <v>39.916745074558776</v>
      </c>
      <c r="J64">
        <f t="shared" si="8"/>
        <v>11.883315349916103</v>
      </c>
      <c r="K64">
        <f t="shared" si="8"/>
        <v>9.0315772461294941</v>
      </c>
    </row>
    <row r="65" spans="3:11" x14ac:dyDescent="0.3">
      <c r="C65" t="s">
        <v>10</v>
      </c>
      <c r="D65">
        <v>4</v>
      </c>
      <c r="E65">
        <v>210469</v>
      </c>
      <c r="F65">
        <v>210451</v>
      </c>
      <c r="G65">
        <v>210400</v>
      </c>
      <c r="I65">
        <f t="shared" si="9"/>
        <v>54.639875706161</v>
      </c>
      <c r="J65">
        <f t="shared" si="8"/>
        <v>46.091489230272124</v>
      </c>
      <c r="K65">
        <f t="shared" si="8"/>
        <v>21.863117870722434</v>
      </c>
    </row>
    <row r="66" spans="3:11" x14ac:dyDescent="0.3">
      <c r="C66" t="s">
        <v>10</v>
      </c>
      <c r="D66">
        <v>5</v>
      </c>
      <c r="E66">
        <v>210435</v>
      </c>
      <c r="F66">
        <v>210357</v>
      </c>
      <c r="G66">
        <v>210361</v>
      </c>
      <c r="I66">
        <f t="shared" si="9"/>
        <v>38.491695773041556</v>
      </c>
      <c r="J66">
        <f t="shared" si="8"/>
        <v>1.4261469787076257</v>
      </c>
      <c r="K66">
        <f t="shared" si="8"/>
        <v>3.3276130081146218</v>
      </c>
    </row>
    <row r="67" spans="3:11" x14ac:dyDescent="0.3">
      <c r="C67" t="s">
        <v>10</v>
      </c>
      <c r="D67">
        <v>6</v>
      </c>
      <c r="E67">
        <v>210449</v>
      </c>
      <c r="F67">
        <v>210394</v>
      </c>
      <c r="G67">
        <v>210391</v>
      </c>
      <c r="I67">
        <f t="shared" si="9"/>
        <v>45.141578244610336</v>
      </c>
      <c r="J67">
        <f t="shared" si="8"/>
        <v>19.011949009952755</v>
      </c>
      <c r="K67">
        <f t="shared" si="8"/>
        <v>17.586303596636739</v>
      </c>
    </row>
    <row r="68" spans="3:11" x14ac:dyDescent="0.3">
      <c r="C68" t="s">
        <v>10</v>
      </c>
      <c r="D68">
        <v>7</v>
      </c>
      <c r="E68">
        <v>210452</v>
      </c>
      <c r="F68">
        <v>210378</v>
      </c>
      <c r="G68">
        <v>210381</v>
      </c>
      <c r="I68">
        <f t="shared" si="9"/>
        <v>46.566437952597269</v>
      </c>
      <c r="J68">
        <f t="shared" si="8"/>
        <v>11.408036962039757</v>
      </c>
      <c r="K68">
        <f t="shared" si="8"/>
        <v>12.833858570878549</v>
      </c>
    </row>
    <row r="69" spans="3:11" x14ac:dyDescent="0.3">
      <c r="C69" t="s">
        <v>10</v>
      </c>
      <c r="D69">
        <v>8</v>
      </c>
      <c r="E69">
        <v>210446</v>
      </c>
      <c r="F69">
        <v>210359</v>
      </c>
      <c r="G69">
        <v>210372</v>
      </c>
      <c r="I69">
        <f t="shared" si="9"/>
        <v>43.716677912623666</v>
      </c>
      <c r="J69">
        <f t="shared" si="8"/>
        <v>2.3768890325586258</v>
      </c>
      <c r="K69">
        <f t="shared" si="8"/>
        <v>8.5562717471906904</v>
      </c>
    </row>
    <row r="70" spans="3:11" x14ac:dyDescent="0.3">
      <c r="C70" t="s">
        <v>10</v>
      </c>
      <c r="D70">
        <v>9</v>
      </c>
      <c r="E70">
        <v>210445</v>
      </c>
      <c r="F70">
        <v>210476</v>
      </c>
      <c r="G70">
        <v>210362</v>
      </c>
      <c r="I70">
        <f t="shared" si="9"/>
        <v>43.241702107439004</v>
      </c>
      <c r="J70">
        <f t="shared" si="8"/>
        <v>57.963853360953273</v>
      </c>
      <c r="K70">
        <f t="shared" si="8"/>
        <v>3.8029682166931291</v>
      </c>
    </row>
    <row r="71" spans="3:11" x14ac:dyDescent="0.3">
      <c r="C71" t="s">
        <v>10</v>
      </c>
      <c r="D71">
        <v>10</v>
      </c>
      <c r="E71">
        <v>210442</v>
      </c>
      <c r="F71">
        <v>210367</v>
      </c>
      <c r="G71">
        <v>210358</v>
      </c>
      <c r="I71">
        <f t="shared" si="9"/>
        <v>41.816747607416772</v>
      </c>
      <c r="J71">
        <f t="shared" si="8"/>
        <v>6.1796764701687996</v>
      </c>
      <c r="K71">
        <f t="shared" si="8"/>
        <v>1.901520265452229</v>
      </c>
    </row>
    <row r="72" spans="3:11" x14ac:dyDescent="0.3">
      <c r="C72" t="s">
        <v>10</v>
      </c>
      <c r="D72">
        <v>11</v>
      </c>
      <c r="E72">
        <v>210416</v>
      </c>
      <c r="F72">
        <v>210357</v>
      </c>
      <c r="G72">
        <v>210371</v>
      </c>
      <c r="I72">
        <f t="shared" si="9"/>
        <v>29.465439890502623</v>
      </c>
      <c r="J72">
        <f t="shared" si="8"/>
        <v>1.4261469787076257</v>
      </c>
      <c r="K72">
        <f t="shared" si="8"/>
        <v>8.0809617295159502</v>
      </c>
    </row>
    <row r="73" spans="3:11" x14ac:dyDescent="0.3">
      <c r="C73" t="s">
        <v>10</v>
      </c>
      <c r="D73">
        <v>12</v>
      </c>
      <c r="E73">
        <v>210433</v>
      </c>
      <c r="F73">
        <v>210460</v>
      </c>
      <c r="G73">
        <v>210365</v>
      </c>
      <c r="I73">
        <f t="shared" si="9"/>
        <v>37.541640332077193</v>
      </c>
      <c r="J73">
        <f t="shared" si="8"/>
        <v>50.365865247552982</v>
      </c>
      <c r="K73">
        <f t="shared" si="8"/>
        <v>5.2290067264041076</v>
      </c>
    </row>
    <row r="74" spans="3:11" x14ac:dyDescent="0.3">
      <c r="C74" t="s">
        <v>10</v>
      </c>
      <c r="D74">
        <v>13</v>
      </c>
      <c r="E74">
        <v>210421</v>
      </c>
      <c r="F74">
        <v>210360</v>
      </c>
      <c r="G74">
        <v>210412</v>
      </c>
      <c r="I74">
        <f t="shared" si="9"/>
        <v>31.840928424444325</v>
      </c>
      <c r="J74">
        <f t="shared" si="8"/>
        <v>2.8522532800912721</v>
      </c>
      <c r="K74">
        <f t="shared" si="8"/>
        <v>27.564967777503181</v>
      </c>
    </row>
    <row r="75" spans="3:11" x14ac:dyDescent="0.3">
      <c r="C75" t="s">
        <v>10</v>
      </c>
      <c r="D75">
        <v>14</v>
      </c>
      <c r="E75">
        <v>210436</v>
      </c>
      <c r="F75">
        <v>210369</v>
      </c>
      <c r="G75">
        <v>210354</v>
      </c>
      <c r="I75">
        <f t="shared" si="9"/>
        <v>38.96671672147351</v>
      </c>
      <c r="J75">
        <f t="shared" si="8"/>
        <v>7.1303281377008965</v>
      </c>
      <c r="K75">
        <f t="shared" si="8"/>
        <v>0</v>
      </c>
    </row>
    <row r="76" spans="3:11" x14ac:dyDescent="0.3">
      <c r="C76" t="s">
        <v>10</v>
      </c>
      <c r="D76">
        <v>15</v>
      </c>
      <c r="E76">
        <v>210421</v>
      </c>
      <c r="F76">
        <v>210417</v>
      </c>
      <c r="G76">
        <v>210405</v>
      </c>
      <c r="I76">
        <f t="shared" si="9"/>
        <v>31.840928424444325</v>
      </c>
      <c r="J76">
        <f t="shared" si="8"/>
        <v>29.940546628837026</v>
      </c>
      <c r="K76">
        <f t="shared" si="8"/>
        <v>24.238967705140084</v>
      </c>
    </row>
    <row r="77" spans="3:11" x14ac:dyDescent="0.3">
      <c r="C77" t="s">
        <v>10</v>
      </c>
      <c r="D77">
        <v>16</v>
      </c>
      <c r="E77">
        <v>210438</v>
      </c>
      <c r="F77">
        <v>210449</v>
      </c>
      <c r="G77">
        <v>210371</v>
      </c>
      <c r="I77">
        <f t="shared" si="9"/>
        <v>39.916745074558776</v>
      </c>
      <c r="J77">
        <f t="shared" si="8"/>
        <v>45.141578244610336</v>
      </c>
      <c r="K77">
        <f t="shared" si="8"/>
        <v>8.0809617295159502</v>
      </c>
    </row>
    <row r="78" spans="3:11" x14ac:dyDescent="0.3">
      <c r="C78" t="s">
        <v>10</v>
      </c>
      <c r="D78">
        <v>17</v>
      </c>
      <c r="E78">
        <v>210412</v>
      </c>
      <c r="F78">
        <v>210381</v>
      </c>
      <c r="G78">
        <v>210362</v>
      </c>
      <c r="I78">
        <f t="shared" si="9"/>
        <v>27.564967777503181</v>
      </c>
      <c r="J78">
        <f t="shared" ref="J78:J91" si="10">(F78-$H$62)/F78*100*1000</f>
        <v>12.833858570878549</v>
      </c>
      <c r="K78">
        <f t="shared" ref="K78:K91" si="11">(G78-$H$62)/G78*100*1000</f>
        <v>3.8029682166931291</v>
      </c>
    </row>
    <row r="79" spans="3:11" x14ac:dyDescent="0.3">
      <c r="C79" t="s">
        <v>10</v>
      </c>
      <c r="D79">
        <v>18</v>
      </c>
      <c r="E79">
        <v>210430</v>
      </c>
      <c r="F79">
        <v>210365</v>
      </c>
      <c r="G79">
        <v>210380</v>
      </c>
      <c r="I79">
        <f t="shared" si="9"/>
        <v>36.116523309414056</v>
      </c>
      <c r="J79">
        <f t="shared" si="10"/>
        <v>5.2290067264041076</v>
      </c>
      <c r="K79">
        <f t="shared" si="11"/>
        <v>12.358589219507557</v>
      </c>
    </row>
    <row r="80" spans="3:11" x14ac:dyDescent="0.3">
      <c r="C80" t="s">
        <v>10</v>
      </c>
      <c r="D80">
        <v>19</v>
      </c>
      <c r="E80">
        <v>210424</v>
      </c>
      <c r="F80">
        <v>210400</v>
      </c>
      <c r="G80">
        <v>210365</v>
      </c>
      <c r="I80">
        <f t="shared" si="9"/>
        <v>33.266167357335668</v>
      </c>
      <c r="J80">
        <f t="shared" si="10"/>
        <v>21.863117870722434</v>
      </c>
      <c r="K80">
        <f t="shared" si="11"/>
        <v>5.2290067264041076</v>
      </c>
    </row>
    <row r="81" spans="1:11" x14ac:dyDescent="0.3">
      <c r="C81" t="s">
        <v>10</v>
      </c>
      <c r="D81">
        <v>20</v>
      </c>
      <c r="E81">
        <v>210453</v>
      </c>
      <c r="F81">
        <v>210385</v>
      </c>
      <c r="G81">
        <v>210357</v>
      </c>
      <c r="I81">
        <f t="shared" si="9"/>
        <v>47.041382161337687</v>
      </c>
      <c r="J81">
        <f t="shared" si="10"/>
        <v>14.734890795446443</v>
      </c>
      <c r="K81">
        <f t="shared" si="11"/>
        <v>1.4261469787076257</v>
      </c>
    </row>
    <row r="82" spans="1:11" x14ac:dyDescent="0.3">
      <c r="C82" t="s">
        <v>10</v>
      </c>
      <c r="D82">
        <v>21</v>
      </c>
      <c r="E82">
        <v>210413</v>
      </c>
      <c r="F82">
        <v>210371</v>
      </c>
      <c r="G82">
        <v>210370</v>
      </c>
      <c r="I82">
        <f t="shared" si="9"/>
        <v>28.040092579831096</v>
      </c>
      <c r="J82">
        <f t="shared" si="10"/>
        <v>8.0809617295159502</v>
      </c>
      <c r="K82">
        <f t="shared" si="11"/>
        <v>7.6056471930408334</v>
      </c>
    </row>
    <row r="83" spans="1:11" x14ac:dyDescent="0.3">
      <c r="C83" t="s">
        <v>10</v>
      </c>
      <c r="D83">
        <v>22</v>
      </c>
      <c r="E83">
        <v>210434</v>
      </c>
      <c r="F83">
        <v>210388</v>
      </c>
      <c r="G83">
        <v>210362</v>
      </c>
      <c r="I83">
        <f t="shared" si="9"/>
        <v>38.016670309930902</v>
      </c>
      <c r="J83">
        <f t="shared" si="10"/>
        <v>16.160617525714393</v>
      </c>
      <c r="K83">
        <f t="shared" si="11"/>
        <v>3.8029682166931291</v>
      </c>
    </row>
    <row r="84" spans="1:11" x14ac:dyDescent="0.3">
      <c r="C84" t="s">
        <v>10</v>
      </c>
      <c r="D84">
        <v>23</v>
      </c>
      <c r="E84">
        <v>210447</v>
      </c>
      <c r="F84">
        <v>210397</v>
      </c>
      <c r="G84">
        <v>210371</v>
      </c>
      <c r="I84">
        <f t="shared" si="9"/>
        <v>44.191649203837549</v>
      </c>
      <c r="J84">
        <f t="shared" si="10"/>
        <v>20.437553767401624</v>
      </c>
      <c r="K84">
        <f t="shared" si="11"/>
        <v>8.0809617295159502</v>
      </c>
    </row>
    <row r="85" spans="1:11" x14ac:dyDescent="0.3">
      <c r="C85" t="s">
        <v>10</v>
      </c>
      <c r="D85">
        <v>24</v>
      </c>
      <c r="E85">
        <v>210490</v>
      </c>
      <c r="F85">
        <v>210410</v>
      </c>
      <c r="G85">
        <v>210444</v>
      </c>
      <c r="I85">
        <f t="shared" si="9"/>
        <v>64.611145422585395</v>
      </c>
      <c r="J85">
        <f t="shared" si="10"/>
        <v>26.614704624304927</v>
      </c>
      <c r="K85">
        <f t="shared" si="11"/>
        <v>42.766721788219193</v>
      </c>
    </row>
    <row r="86" spans="1:11" x14ac:dyDescent="0.3">
      <c r="C86" t="s">
        <v>10</v>
      </c>
      <c r="D86">
        <v>25</v>
      </c>
      <c r="E86">
        <v>210426</v>
      </c>
      <c r="F86">
        <v>210452</v>
      </c>
      <c r="G86">
        <v>210371</v>
      </c>
      <c r="I86">
        <f t="shared" si="9"/>
        <v>34.216304068888832</v>
      </c>
      <c r="J86">
        <f t="shared" si="10"/>
        <v>46.566437952597269</v>
      </c>
      <c r="K86">
        <f t="shared" si="11"/>
        <v>8.0809617295159502</v>
      </c>
    </row>
    <row r="87" spans="1:11" x14ac:dyDescent="0.3">
      <c r="C87" t="s">
        <v>10</v>
      </c>
      <c r="D87">
        <v>26</v>
      </c>
      <c r="E87">
        <v>210417</v>
      </c>
      <c r="F87">
        <v>210369</v>
      </c>
      <c r="G87">
        <v>210359</v>
      </c>
      <c r="I87">
        <f t="shared" si="9"/>
        <v>29.940546628837026</v>
      </c>
      <c r="J87">
        <f t="shared" si="10"/>
        <v>7.1303281377008965</v>
      </c>
      <c r="K87">
        <f t="shared" si="11"/>
        <v>2.3768890325586258</v>
      </c>
    </row>
    <row r="88" spans="1:11" x14ac:dyDescent="0.3">
      <c r="C88" t="s">
        <v>10</v>
      </c>
      <c r="D88">
        <v>27</v>
      </c>
      <c r="E88">
        <v>210421</v>
      </c>
      <c r="F88">
        <v>210358</v>
      </c>
      <c r="G88">
        <v>210364</v>
      </c>
      <c r="I88">
        <f t="shared" si="9"/>
        <v>31.840928424444325</v>
      </c>
      <c r="J88">
        <f t="shared" si="10"/>
        <v>1.901520265452229</v>
      </c>
      <c r="K88">
        <f t="shared" si="11"/>
        <v>4.7536650757734211</v>
      </c>
    </row>
    <row r="89" spans="1:11" x14ac:dyDescent="0.3">
      <c r="C89" t="s">
        <v>10</v>
      </c>
      <c r="D89">
        <v>28</v>
      </c>
      <c r="E89">
        <v>210458</v>
      </c>
      <c r="F89">
        <v>210413</v>
      </c>
      <c r="G89">
        <v>210370</v>
      </c>
      <c r="I89">
        <f t="shared" si="9"/>
        <v>49.416035503520888</v>
      </c>
      <c r="J89">
        <f t="shared" si="10"/>
        <v>28.040092579831096</v>
      </c>
      <c r="K89">
        <f t="shared" si="11"/>
        <v>7.6056471930408334</v>
      </c>
    </row>
    <row r="90" spans="1:11" x14ac:dyDescent="0.3">
      <c r="C90" t="s">
        <v>10</v>
      </c>
      <c r="D90">
        <v>29</v>
      </c>
      <c r="E90">
        <v>210427</v>
      </c>
      <c r="F90">
        <v>210379</v>
      </c>
      <c r="G90">
        <v>210355</v>
      </c>
      <c r="I90">
        <f t="shared" si="9"/>
        <v>34.69136565174621</v>
      </c>
      <c r="J90">
        <f t="shared" si="10"/>
        <v>11.883315349916103</v>
      </c>
      <c r="K90">
        <f t="shared" si="11"/>
        <v>0.47538684604596987</v>
      </c>
    </row>
    <row r="91" spans="1:11" x14ac:dyDescent="0.3">
      <c r="C91" t="s">
        <v>10</v>
      </c>
      <c r="D91">
        <v>30</v>
      </c>
      <c r="E91">
        <v>210441</v>
      </c>
      <c r="F91">
        <v>210424</v>
      </c>
      <c r="G91">
        <v>210378</v>
      </c>
      <c r="I91">
        <f t="shared" si="9"/>
        <v>41.341753745705446</v>
      </c>
      <c r="J91">
        <f t="shared" si="10"/>
        <v>33.266167357335668</v>
      </c>
      <c r="K91">
        <f t="shared" si="11"/>
        <v>11.408036962039757</v>
      </c>
    </row>
    <row r="92" spans="1:11" x14ac:dyDescent="0.3">
      <c r="A92">
        <v>60</v>
      </c>
      <c r="B92">
        <v>6</v>
      </c>
      <c r="C92" t="s">
        <v>15</v>
      </c>
      <c r="D92">
        <v>1</v>
      </c>
      <c r="E92">
        <v>280540</v>
      </c>
      <c r="F92">
        <v>280520</v>
      </c>
      <c r="G92">
        <v>280499</v>
      </c>
      <c r="H92">
        <f>MIN(E92:G121)</f>
        <v>280483</v>
      </c>
      <c r="I92">
        <f>(E92-$H$92)/E92*100*1000</f>
        <v>20.317958223426245</v>
      </c>
      <c r="J92">
        <f t="shared" ref="J92:K107" si="12">(F92-$H$92)/F92*100*1000</f>
        <v>13.189790389277057</v>
      </c>
      <c r="K92">
        <f t="shared" si="12"/>
        <v>5.7041201572911131</v>
      </c>
    </row>
    <row r="93" spans="1:11" x14ac:dyDescent="0.3">
      <c r="C93" t="s">
        <v>15</v>
      </c>
      <c r="D93">
        <v>2</v>
      </c>
      <c r="E93">
        <v>280526</v>
      </c>
      <c r="F93">
        <v>280530</v>
      </c>
      <c r="G93">
        <v>280489</v>
      </c>
      <c r="I93">
        <f t="shared" ref="I93:I121" si="13">(E93-$H$92)/E93*100*1000</f>
        <v>15.328347461554367</v>
      </c>
      <c r="J93">
        <f t="shared" si="12"/>
        <v>16.754001354578833</v>
      </c>
      <c r="K93">
        <f t="shared" si="12"/>
        <v>2.1391213202656787</v>
      </c>
    </row>
    <row r="94" spans="1:11" x14ac:dyDescent="0.3">
      <c r="C94" t="s">
        <v>15</v>
      </c>
      <c r="D94">
        <v>3</v>
      </c>
      <c r="E94">
        <v>280528</v>
      </c>
      <c r="F94">
        <v>280547</v>
      </c>
      <c r="G94">
        <v>280529</v>
      </c>
      <c r="I94">
        <f t="shared" si="13"/>
        <v>16.041179490104376</v>
      </c>
      <c r="J94">
        <f t="shared" si="12"/>
        <v>22.812576858779458</v>
      </c>
      <c r="K94">
        <f t="shared" si="12"/>
        <v>16.397591692837462</v>
      </c>
    </row>
    <row r="95" spans="1:11" x14ac:dyDescent="0.3">
      <c r="C95" t="s">
        <v>15</v>
      </c>
      <c r="D95">
        <v>4</v>
      </c>
      <c r="E95">
        <v>280511</v>
      </c>
      <c r="F95">
        <v>280491</v>
      </c>
      <c r="G95">
        <v>280520</v>
      </c>
      <c r="I95">
        <f t="shared" si="13"/>
        <v>9.9817832455768212</v>
      </c>
      <c r="J95">
        <f t="shared" si="12"/>
        <v>2.8521414234324807</v>
      </c>
      <c r="K95">
        <f t="shared" si="12"/>
        <v>13.189790389277057</v>
      </c>
    </row>
    <row r="96" spans="1:11" x14ac:dyDescent="0.3">
      <c r="C96" t="s">
        <v>15</v>
      </c>
      <c r="D96">
        <v>5</v>
      </c>
      <c r="E96">
        <v>280507</v>
      </c>
      <c r="F96">
        <v>280529</v>
      </c>
      <c r="G96">
        <v>280508</v>
      </c>
      <c r="I96">
        <f t="shared" si="13"/>
        <v>8.5559362154955139</v>
      </c>
      <c r="J96">
        <f t="shared" si="12"/>
        <v>16.397591692837462</v>
      </c>
      <c r="K96">
        <f t="shared" si="12"/>
        <v>8.9124017853323263</v>
      </c>
    </row>
    <row r="97" spans="3:11" x14ac:dyDescent="0.3">
      <c r="C97" t="s">
        <v>15</v>
      </c>
      <c r="D97">
        <v>6</v>
      </c>
      <c r="E97">
        <v>280531</v>
      </c>
      <c r="F97">
        <v>280513</v>
      </c>
      <c r="G97">
        <v>280483</v>
      </c>
      <c r="I97">
        <f t="shared" si="13"/>
        <v>17.110408475355666</v>
      </c>
      <c r="J97">
        <f t="shared" si="12"/>
        <v>10.694691511623347</v>
      </c>
      <c r="K97">
        <f t="shared" si="12"/>
        <v>0</v>
      </c>
    </row>
    <row r="98" spans="3:11" x14ac:dyDescent="0.3">
      <c r="C98" t="s">
        <v>15</v>
      </c>
      <c r="D98">
        <v>7</v>
      </c>
      <c r="E98">
        <v>280536</v>
      </c>
      <c r="F98">
        <v>280506</v>
      </c>
      <c r="G98">
        <v>280507</v>
      </c>
      <c r="I98">
        <f t="shared" si="13"/>
        <v>18.892405965722759</v>
      </c>
      <c r="J98">
        <f t="shared" si="12"/>
        <v>8.1994681040690747</v>
      </c>
      <c r="K98">
        <f t="shared" si="12"/>
        <v>8.5559362154955139</v>
      </c>
    </row>
    <row r="99" spans="3:11" x14ac:dyDescent="0.3">
      <c r="C99" t="s">
        <v>15</v>
      </c>
      <c r="D99">
        <v>8</v>
      </c>
      <c r="E99">
        <v>280510</v>
      </c>
      <c r="F99">
        <v>280542</v>
      </c>
      <c r="G99">
        <v>280532</v>
      </c>
      <c r="I99">
        <f t="shared" si="13"/>
        <v>9.6253253003457999</v>
      </c>
      <c r="J99">
        <f t="shared" si="12"/>
        <v>21.030719108012349</v>
      </c>
      <c r="K99">
        <f t="shared" si="12"/>
        <v>17.466813055195132</v>
      </c>
    </row>
    <row r="100" spans="3:11" x14ac:dyDescent="0.3">
      <c r="C100" t="s">
        <v>15</v>
      </c>
      <c r="D100">
        <v>9</v>
      </c>
      <c r="E100">
        <v>280519</v>
      </c>
      <c r="F100">
        <v>280530</v>
      </c>
      <c r="G100">
        <v>280492</v>
      </c>
      <c r="I100">
        <f t="shared" si="13"/>
        <v>12.833355316395682</v>
      </c>
      <c r="J100">
        <f t="shared" si="12"/>
        <v>16.754001354578833</v>
      </c>
      <c r="K100">
        <f t="shared" si="12"/>
        <v>3.2086476619654034</v>
      </c>
    </row>
    <row r="101" spans="3:11" x14ac:dyDescent="0.3">
      <c r="C101" t="s">
        <v>15</v>
      </c>
      <c r="D101">
        <v>10</v>
      </c>
      <c r="E101">
        <v>280532</v>
      </c>
      <c r="F101">
        <v>280494</v>
      </c>
      <c r="G101">
        <v>280490</v>
      </c>
      <c r="I101">
        <f t="shared" si="13"/>
        <v>17.466813055195132</v>
      </c>
      <c r="J101">
        <f t="shared" si="12"/>
        <v>3.921652513066233</v>
      </c>
      <c r="K101">
        <f t="shared" si="12"/>
        <v>2.4956326428749689</v>
      </c>
    </row>
    <row r="102" spans="3:11" x14ac:dyDescent="0.3">
      <c r="C102" t="s">
        <v>15</v>
      </c>
      <c r="D102">
        <v>11</v>
      </c>
      <c r="E102">
        <v>280531</v>
      </c>
      <c r="F102">
        <v>280539</v>
      </c>
      <c r="G102">
        <v>280520</v>
      </c>
      <c r="I102">
        <f t="shared" si="13"/>
        <v>17.110408475355666</v>
      </c>
      <c r="J102">
        <f t="shared" si="12"/>
        <v>19.961573970107544</v>
      </c>
      <c r="K102">
        <f t="shared" si="12"/>
        <v>13.189790389277057</v>
      </c>
    </row>
    <row r="103" spans="3:11" x14ac:dyDescent="0.3">
      <c r="C103" t="s">
        <v>15</v>
      </c>
      <c r="D103">
        <v>12</v>
      </c>
      <c r="E103">
        <v>280512</v>
      </c>
      <c r="F103">
        <v>280520</v>
      </c>
      <c r="G103">
        <v>280521</v>
      </c>
      <c r="I103">
        <f t="shared" si="13"/>
        <v>10.338238649326945</v>
      </c>
      <c r="J103">
        <f t="shared" si="12"/>
        <v>13.189790389277057</v>
      </c>
      <c r="K103">
        <f t="shared" si="12"/>
        <v>13.546222920922141</v>
      </c>
    </row>
    <row r="104" spans="3:11" x14ac:dyDescent="0.3">
      <c r="C104" t="s">
        <v>15</v>
      </c>
      <c r="D104">
        <v>13</v>
      </c>
      <c r="E104">
        <v>280522</v>
      </c>
      <c r="F104">
        <v>280525</v>
      </c>
      <c r="G104">
        <v>280494</v>
      </c>
      <c r="I104">
        <f t="shared" si="13"/>
        <v>13.902652911358112</v>
      </c>
      <c r="J104">
        <f t="shared" si="12"/>
        <v>14.971927635683096</v>
      </c>
      <c r="K104">
        <f t="shared" si="12"/>
        <v>3.921652513066233</v>
      </c>
    </row>
    <row r="105" spans="3:11" x14ac:dyDescent="0.3">
      <c r="C105" t="s">
        <v>15</v>
      </c>
      <c r="D105">
        <v>14</v>
      </c>
      <c r="E105">
        <v>280533</v>
      </c>
      <c r="F105">
        <v>280528</v>
      </c>
      <c r="G105">
        <v>280499</v>
      </c>
      <c r="I105">
        <f t="shared" si="13"/>
        <v>17.8232150941244</v>
      </c>
      <c r="J105">
        <f t="shared" si="12"/>
        <v>16.041179490104376</v>
      </c>
      <c r="K105">
        <f t="shared" si="12"/>
        <v>5.7041201572911131</v>
      </c>
    </row>
    <row r="106" spans="3:11" x14ac:dyDescent="0.3">
      <c r="C106" t="s">
        <v>15</v>
      </c>
      <c r="D106">
        <v>15</v>
      </c>
      <c r="E106">
        <v>280530</v>
      </c>
      <c r="F106">
        <v>280538</v>
      </c>
      <c r="G106">
        <v>280509</v>
      </c>
      <c r="I106">
        <f t="shared" si="13"/>
        <v>16.754001354578833</v>
      </c>
      <c r="J106">
        <f t="shared" si="12"/>
        <v>19.605187176068839</v>
      </c>
      <c r="K106">
        <f t="shared" si="12"/>
        <v>9.268864813606692</v>
      </c>
    </row>
    <row r="107" spans="3:11" x14ac:dyDescent="0.3">
      <c r="C107" t="s">
        <v>15</v>
      </c>
      <c r="D107">
        <v>16</v>
      </c>
      <c r="E107">
        <v>280526</v>
      </c>
      <c r="F107">
        <v>280483</v>
      </c>
      <c r="G107">
        <v>280489</v>
      </c>
      <c r="I107">
        <f t="shared" si="13"/>
        <v>15.328347461554367</v>
      </c>
      <c r="J107">
        <f t="shared" si="12"/>
        <v>0</v>
      </c>
      <c r="K107">
        <f t="shared" si="12"/>
        <v>2.1391213202656787</v>
      </c>
    </row>
    <row r="108" spans="3:11" x14ac:dyDescent="0.3">
      <c r="C108" t="s">
        <v>15</v>
      </c>
      <c r="D108">
        <v>17</v>
      </c>
      <c r="E108">
        <v>280522</v>
      </c>
      <c r="F108">
        <v>280510</v>
      </c>
      <c r="G108">
        <v>280521</v>
      </c>
      <c r="I108">
        <f t="shared" si="13"/>
        <v>13.902652911358112</v>
      </c>
      <c r="J108">
        <f t="shared" ref="J108:J121" si="14">(F108-$H$92)/F108*100*1000</f>
        <v>9.6253253003457999</v>
      </c>
      <c r="K108">
        <f t="shared" ref="K108:K121" si="15">(G108-$H$92)/G108*100*1000</f>
        <v>13.546222920922141</v>
      </c>
    </row>
    <row r="109" spans="3:11" x14ac:dyDescent="0.3">
      <c r="C109" t="s">
        <v>15</v>
      </c>
      <c r="D109">
        <v>18</v>
      </c>
      <c r="E109">
        <v>280529</v>
      </c>
      <c r="F109">
        <v>280517</v>
      </c>
      <c r="G109">
        <v>280508</v>
      </c>
      <c r="I109">
        <f t="shared" si="13"/>
        <v>16.397591692837462</v>
      </c>
      <c r="J109">
        <f t="shared" si="14"/>
        <v>12.120477546815346</v>
      </c>
      <c r="K109">
        <f t="shared" si="15"/>
        <v>8.9124017853323263</v>
      </c>
    </row>
    <row r="110" spans="3:11" x14ac:dyDescent="0.3">
      <c r="C110" t="s">
        <v>15</v>
      </c>
      <c r="D110">
        <v>19</v>
      </c>
      <c r="E110">
        <v>280527</v>
      </c>
      <c r="F110">
        <v>280545</v>
      </c>
      <c r="G110">
        <v>280488</v>
      </c>
      <c r="I110">
        <f t="shared" si="13"/>
        <v>15.6847647463524</v>
      </c>
      <c r="J110">
        <f t="shared" si="14"/>
        <v>22.099841380170741</v>
      </c>
      <c r="K110">
        <f t="shared" si="15"/>
        <v>1.7826074555774223</v>
      </c>
    </row>
    <row r="111" spans="3:11" x14ac:dyDescent="0.3">
      <c r="C111" t="s">
        <v>15</v>
      </c>
      <c r="D111">
        <v>20</v>
      </c>
      <c r="E111">
        <v>280533</v>
      </c>
      <c r="F111">
        <v>280519</v>
      </c>
      <c r="G111">
        <v>280517</v>
      </c>
      <c r="I111">
        <f t="shared" si="13"/>
        <v>17.8232150941244</v>
      </c>
      <c r="J111">
        <f t="shared" si="14"/>
        <v>12.833355316395682</v>
      </c>
      <c r="K111">
        <f t="shared" si="15"/>
        <v>12.120477546815346</v>
      </c>
    </row>
    <row r="112" spans="3:11" x14ac:dyDescent="0.3">
      <c r="C112" t="s">
        <v>15</v>
      </c>
      <c r="D112">
        <v>21</v>
      </c>
      <c r="E112">
        <v>280535</v>
      </c>
      <c r="F112">
        <v>280528</v>
      </c>
      <c r="G112">
        <v>280510</v>
      </c>
      <c r="I112">
        <f t="shared" si="13"/>
        <v>18.536011549361042</v>
      </c>
      <c r="J112">
        <f t="shared" si="14"/>
        <v>16.041179490104376</v>
      </c>
      <c r="K112">
        <f t="shared" si="15"/>
        <v>9.6253253003457999</v>
      </c>
    </row>
    <row r="113" spans="1:11" x14ac:dyDescent="0.3">
      <c r="C113" t="s">
        <v>15</v>
      </c>
      <c r="D113">
        <v>22</v>
      </c>
      <c r="E113">
        <v>280530</v>
      </c>
      <c r="F113">
        <v>280513</v>
      </c>
      <c r="G113">
        <v>280514</v>
      </c>
      <c r="I113">
        <f t="shared" si="13"/>
        <v>16.754001354578833</v>
      </c>
      <c r="J113">
        <f t="shared" si="14"/>
        <v>10.694691511623347</v>
      </c>
      <c r="K113">
        <f t="shared" si="15"/>
        <v>11.05114183249321</v>
      </c>
    </row>
    <row r="114" spans="1:11" x14ac:dyDescent="0.3">
      <c r="C114" t="s">
        <v>15</v>
      </c>
      <c r="D114">
        <v>23</v>
      </c>
      <c r="E114">
        <v>280533</v>
      </c>
      <c r="F114">
        <v>280491</v>
      </c>
      <c r="G114">
        <v>280489</v>
      </c>
      <c r="I114">
        <f t="shared" si="13"/>
        <v>17.8232150941244</v>
      </c>
      <c r="J114">
        <f t="shared" si="14"/>
        <v>2.8521414234324807</v>
      </c>
      <c r="K114">
        <f t="shared" si="15"/>
        <v>2.1391213202656787</v>
      </c>
    </row>
    <row r="115" spans="1:11" x14ac:dyDescent="0.3">
      <c r="C115" t="s">
        <v>15</v>
      </c>
      <c r="D115">
        <v>24</v>
      </c>
      <c r="E115">
        <v>280520</v>
      </c>
      <c r="F115">
        <v>280501</v>
      </c>
      <c r="G115">
        <v>280491</v>
      </c>
      <c r="I115">
        <f t="shared" si="13"/>
        <v>13.189790389277057</v>
      </c>
      <c r="J115">
        <f t="shared" si="14"/>
        <v>6.4170894221410979</v>
      </c>
      <c r="K115">
        <f t="shared" si="15"/>
        <v>2.8521414234324807</v>
      </c>
    </row>
    <row r="116" spans="1:11" x14ac:dyDescent="0.3">
      <c r="C116" t="s">
        <v>15</v>
      </c>
      <c r="D116">
        <v>25</v>
      </c>
      <c r="E116">
        <v>280527</v>
      </c>
      <c r="F116">
        <v>280542</v>
      </c>
      <c r="G116">
        <v>280521</v>
      </c>
      <c r="I116">
        <f t="shared" si="13"/>
        <v>15.6847647463524</v>
      </c>
      <c r="J116">
        <f t="shared" si="14"/>
        <v>21.030719108012349</v>
      </c>
      <c r="K116">
        <f t="shared" si="15"/>
        <v>13.546222920922141</v>
      </c>
    </row>
    <row r="117" spans="1:11" x14ac:dyDescent="0.3">
      <c r="C117" t="s">
        <v>15</v>
      </c>
      <c r="D117">
        <v>26</v>
      </c>
      <c r="E117">
        <v>280543</v>
      </c>
      <c r="F117">
        <v>280491</v>
      </c>
      <c r="G117">
        <v>280526</v>
      </c>
      <c r="I117">
        <f t="shared" si="13"/>
        <v>21.387095739334079</v>
      </c>
      <c r="J117">
        <f t="shared" si="14"/>
        <v>2.8521414234324807</v>
      </c>
      <c r="K117">
        <f t="shared" si="15"/>
        <v>15.328347461554367</v>
      </c>
    </row>
    <row r="118" spans="1:11" x14ac:dyDescent="0.3">
      <c r="C118" t="s">
        <v>15</v>
      </c>
      <c r="D118">
        <v>27</v>
      </c>
      <c r="E118">
        <v>280524</v>
      </c>
      <c r="F118">
        <v>280541</v>
      </c>
      <c r="G118">
        <v>280525</v>
      </c>
      <c r="I118">
        <f t="shared" si="13"/>
        <v>14.615505268711411</v>
      </c>
      <c r="J118">
        <f t="shared" si="14"/>
        <v>20.674339936052128</v>
      </c>
      <c r="K118">
        <f t="shared" si="15"/>
        <v>14.971927635683096</v>
      </c>
    </row>
    <row r="119" spans="1:11" x14ac:dyDescent="0.3">
      <c r="C119" t="s">
        <v>15</v>
      </c>
      <c r="D119">
        <v>28</v>
      </c>
      <c r="E119">
        <v>280531</v>
      </c>
      <c r="F119">
        <v>280526</v>
      </c>
      <c r="G119">
        <v>280515</v>
      </c>
      <c r="I119">
        <f t="shared" si="13"/>
        <v>17.110408475355666</v>
      </c>
      <c r="J119">
        <f t="shared" si="14"/>
        <v>15.328347461554367</v>
      </c>
      <c r="K119">
        <f t="shared" si="15"/>
        <v>11.40758961196371</v>
      </c>
    </row>
    <row r="120" spans="1:11" x14ac:dyDescent="0.3">
      <c r="C120" t="s">
        <v>15</v>
      </c>
      <c r="D120">
        <v>29</v>
      </c>
      <c r="E120">
        <v>280540</v>
      </c>
      <c r="F120">
        <v>280489</v>
      </c>
      <c r="G120">
        <v>280491</v>
      </c>
      <c r="I120">
        <f t="shared" si="13"/>
        <v>20.317958223426245</v>
      </c>
      <c r="J120">
        <f t="shared" si="14"/>
        <v>2.1391213202656787</v>
      </c>
      <c r="K120">
        <f t="shared" si="15"/>
        <v>2.8521414234324807</v>
      </c>
    </row>
    <row r="121" spans="1:11" x14ac:dyDescent="0.3">
      <c r="C121" t="s">
        <v>15</v>
      </c>
      <c r="D121">
        <v>30</v>
      </c>
      <c r="E121">
        <v>280526</v>
      </c>
      <c r="F121">
        <v>280491</v>
      </c>
      <c r="G121">
        <v>280483</v>
      </c>
      <c r="I121">
        <f t="shared" si="13"/>
        <v>15.328347461554367</v>
      </c>
      <c r="J121">
        <f t="shared" si="14"/>
        <v>2.8521414234324807</v>
      </c>
      <c r="K121">
        <f t="shared" si="15"/>
        <v>0</v>
      </c>
    </row>
    <row r="122" spans="1:11" x14ac:dyDescent="0.3">
      <c r="A122">
        <v>120</v>
      </c>
      <c r="B122">
        <v>3</v>
      </c>
      <c r="C122" t="s">
        <v>16</v>
      </c>
      <c r="D122">
        <v>1</v>
      </c>
      <c r="E122">
        <v>412251</v>
      </c>
      <c r="F122">
        <v>412251</v>
      </c>
      <c r="G122">
        <v>411317</v>
      </c>
      <c r="H122">
        <f>MIN(E122:G151)</f>
        <v>411288</v>
      </c>
      <c r="I122">
        <f>(E122-$H$122)/E122*100*1000</f>
        <v>233.59555222425172</v>
      </c>
      <c r="J122">
        <f t="shared" ref="J122:K137" si="16">(F122-$H$122)/F122*100*1000</f>
        <v>233.59555222425172</v>
      </c>
      <c r="K122">
        <f t="shared" si="16"/>
        <v>7.0505230758757849</v>
      </c>
    </row>
    <row r="123" spans="1:11" x14ac:dyDescent="0.3">
      <c r="C123" t="s">
        <v>16</v>
      </c>
      <c r="D123">
        <v>2</v>
      </c>
      <c r="E123">
        <v>412251</v>
      </c>
      <c r="F123">
        <v>411419</v>
      </c>
      <c r="G123">
        <v>411331</v>
      </c>
      <c r="I123">
        <f t="shared" ref="I123:I151" si="17">(E123-$H$122)/E123*100*1000</f>
        <v>233.59555222425172</v>
      </c>
      <c r="J123">
        <f t="shared" si="16"/>
        <v>31.841018523694821</v>
      </c>
      <c r="K123">
        <f t="shared" si="16"/>
        <v>10.453868052736119</v>
      </c>
    </row>
    <row r="124" spans="1:11" x14ac:dyDescent="0.3">
      <c r="C124" t="s">
        <v>16</v>
      </c>
      <c r="D124">
        <v>3</v>
      </c>
      <c r="E124">
        <v>412251</v>
      </c>
      <c r="F124">
        <v>411386</v>
      </c>
      <c r="G124">
        <v>412251</v>
      </c>
      <c r="I124">
        <f t="shared" si="17"/>
        <v>233.59555222425172</v>
      </c>
      <c r="J124">
        <f t="shared" si="16"/>
        <v>23.821909350342501</v>
      </c>
      <c r="K124">
        <f t="shared" si="16"/>
        <v>233.59555222425172</v>
      </c>
    </row>
    <row r="125" spans="1:11" x14ac:dyDescent="0.3">
      <c r="C125" t="s">
        <v>16</v>
      </c>
      <c r="D125">
        <v>4</v>
      </c>
      <c r="E125">
        <v>412251</v>
      </c>
      <c r="F125">
        <v>411356</v>
      </c>
      <c r="G125">
        <v>411336</v>
      </c>
      <c r="I125">
        <f t="shared" si="17"/>
        <v>233.59555222425172</v>
      </c>
      <c r="J125">
        <f t="shared" si="16"/>
        <v>16.530693608455937</v>
      </c>
      <c r="K125">
        <f t="shared" si="16"/>
        <v>11.669292257424587</v>
      </c>
    </row>
    <row r="126" spans="1:11" x14ac:dyDescent="0.3">
      <c r="C126" t="s">
        <v>16</v>
      </c>
      <c r="D126">
        <v>5</v>
      </c>
      <c r="E126">
        <v>412251</v>
      </c>
      <c r="F126">
        <v>411345</v>
      </c>
      <c r="G126">
        <v>411354</v>
      </c>
      <c r="I126">
        <f t="shared" si="17"/>
        <v>233.59555222425172</v>
      </c>
      <c r="J126">
        <f t="shared" si="16"/>
        <v>13.856981366006636</v>
      </c>
      <c r="K126">
        <f t="shared" si="16"/>
        <v>16.044574745839348</v>
      </c>
    </row>
    <row r="127" spans="1:11" x14ac:dyDescent="0.3">
      <c r="C127" t="s">
        <v>16</v>
      </c>
      <c r="D127">
        <v>6</v>
      </c>
      <c r="E127">
        <v>412251</v>
      </c>
      <c r="F127">
        <v>411441</v>
      </c>
      <c r="G127">
        <v>411302</v>
      </c>
      <c r="I127">
        <f t="shared" si="17"/>
        <v>233.59555222425172</v>
      </c>
      <c r="J127">
        <f t="shared" si="16"/>
        <v>37.186376661538347</v>
      </c>
      <c r="K127">
        <f t="shared" si="16"/>
        <v>3.4038249266961986</v>
      </c>
    </row>
    <row r="128" spans="1:11" x14ac:dyDescent="0.3">
      <c r="C128" t="s">
        <v>16</v>
      </c>
      <c r="D128">
        <v>7</v>
      </c>
      <c r="E128">
        <v>412251</v>
      </c>
      <c r="F128">
        <v>412251</v>
      </c>
      <c r="G128">
        <v>411422</v>
      </c>
      <c r="I128">
        <f t="shared" si="17"/>
        <v>233.59555222425172</v>
      </c>
      <c r="J128">
        <f t="shared" si="16"/>
        <v>233.59555222425172</v>
      </c>
      <c r="K128">
        <f t="shared" si="16"/>
        <v>32.569964659157748</v>
      </c>
    </row>
    <row r="129" spans="3:11" x14ac:dyDescent="0.3">
      <c r="C129" t="s">
        <v>16</v>
      </c>
      <c r="D129">
        <v>8</v>
      </c>
      <c r="E129">
        <v>412251</v>
      </c>
      <c r="F129">
        <v>411370</v>
      </c>
      <c r="G129">
        <v>411380</v>
      </c>
      <c r="I129">
        <f t="shared" si="17"/>
        <v>233.59555222425172</v>
      </c>
      <c r="J129">
        <f t="shared" si="16"/>
        <v>19.933393295573328</v>
      </c>
      <c r="K129">
        <f t="shared" si="16"/>
        <v>22.363751276192328</v>
      </c>
    </row>
    <row r="130" spans="3:11" x14ac:dyDescent="0.3">
      <c r="C130" t="s">
        <v>16</v>
      </c>
      <c r="D130">
        <v>9</v>
      </c>
      <c r="E130">
        <v>412251</v>
      </c>
      <c r="F130">
        <v>412251</v>
      </c>
      <c r="G130">
        <v>411394</v>
      </c>
      <c r="I130">
        <f t="shared" si="17"/>
        <v>233.59555222425172</v>
      </c>
      <c r="J130">
        <f t="shared" si="16"/>
        <v>233.59555222425172</v>
      </c>
      <c r="K130">
        <f t="shared" si="16"/>
        <v>25.766053953144674</v>
      </c>
    </row>
    <row r="131" spans="3:11" x14ac:dyDescent="0.3">
      <c r="C131" t="s">
        <v>16</v>
      </c>
      <c r="D131">
        <v>10</v>
      </c>
      <c r="E131">
        <v>412251</v>
      </c>
      <c r="F131">
        <v>412251</v>
      </c>
      <c r="G131">
        <v>411341</v>
      </c>
      <c r="I131">
        <f t="shared" si="17"/>
        <v>233.59555222425172</v>
      </c>
      <c r="J131">
        <f t="shared" si="16"/>
        <v>233.59555222425172</v>
      </c>
      <c r="K131">
        <f t="shared" si="16"/>
        <v>12.88468691426335</v>
      </c>
    </row>
    <row r="132" spans="3:11" x14ac:dyDescent="0.3">
      <c r="C132" t="s">
        <v>16</v>
      </c>
      <c r="D132">
        <v>11</v>
      </c>
      <c r="E132">
        <v>412251</v>
      </c>
      <c r="F132">
        <v>411348</v>
      </c>
      <c r="G132">
        <v>411340</v>
      </c>
      <c r="I132">
        <f t="shared" si="17"/>
        <v>233.59555222425172</v>
      </c>
      <c r="J132">
        <f t="shared" si="16"/>
        <v>14.586189795501621</v>
      </c>
      <c r="K132">
        <f t="shared" si="16"/>
        <v>12.641610346671852</v>
      </c>
    </row>
    <row r="133" spans="3:11" x14ac:dyDescent="0.3">
      <c r="C133" t="s">
        <v>16</v>
      </c>
      <c r="D133">
        <v>12</v>
      </c>
      <c r="E133">
        <v>412251</v>
      </c>
      <c r="F133">
        <v>411437</v>
      </c>
      <c r="G133">
        <v>411334</v>
      </c>
      <c r="I133">
        <f t="shared" si="17"/>
        <v>233.59555222425172</v>
      </c>
      <c r="J133">
        <f t="shared" si="16"/>
        <v>36.214535882771848</v>
      </c>
      <c r="K133">
        <f t="shared" si="16"/>
        <v>11.183126121351505</v>
      </c>
    </row>
    <row r="134" spans="3:11" x14ac:dyDescent="0.3">
      <c r="C134" t="s">
        <v>16</v>
      </c>
      <c r="D134">
        <v>13</v>
      </c>
      <c r="E134">
        <v>412251</v>
      </c>
      <c r="F134">
        <v>411379</v>
      </c>
      <c r="G134">
        <v>411387</v>
      </c>
      <c r="I134">
        <f t="shared" si="17"/>
        <v>233.59555222425172</v>
      </c>
      <c r="J134">
        <f t="shared" si="16"/>
        <v>22.120720795179142</v>
      </c>
      <c r="K134">
        <f t="shared" si="16"/>
        <v>24.06493156079312</v>
      </c>
    </row>
    <row r="135" spans="3:11" x14ac:dyDescent="0.3">
      <c r="C135" t="s">
        <v>16</v>
      </c>
      <c r="D135">
        <v>14</v>
      </c>
      <c r="E135">
        <v>412251</v>
      </c>
      <c r="F135">
        <v>412251</v>
      </c>
      <c r="G135">
        <v>411334</v>
      </c>
      <c r="I135">
        <f t="shared" si="17"/>
        <v>233.59555222425172</v>
      </c>
      <c r="J135">
        <f t="shared" si="16"/>
        <v>233.59555222425172</v>
      </c>
      <c r="K135">
        <f t="shared" si="16"/>
        <v>11.183126121351505</v>
      </c>
    </row>
    <row r="136" spans="3:11" x14ac:dyDescent="0.3">
      <c r="C136" t="s">
        <v>16</v>
      </c>
      <c r="D136">
        <v>15</v>
      </c>
      <c r="E136">
        <v>412251</v>
      </c>
      <c r="F136">
        <v>411334</v>
      </c>
      <c r="G136">
        <v>411389</v>
      </c>
      <c r="I136">
        <f t="shared" si="17"/>
        <v>233.59555222425172</v>
      </c>
      <c r="J136">
        <f t="shared" si="16"/>
        <v>11.183126121351505</v>
      </c>
      <c r="K136">
        <f t="shared" si="16"/>
        <v>24.550972437279558</v>
      </c>
    </row>
    <row r="137" spans="3:11" x14ac:dyDescent="0.3">
      <c r="C137" t="s">
        <v>16</v>
      </c>
      <c r="D137">
        <v>16</v>
      </c>
      <c r="E137">
        <v>412251</v>
      </c>
      <c r="F137">
        <v>411380</v>
      </c>
      <c r="G137">
        <v>411389</v>
      </c>
      <c r="I137">
        <f t="shared" si="17"/>
        <v>233.59555222425172</v>
      </c>
      <c r="J137">
        <f t="shared" si="16"/>
        <v>22.363751276192328</v>
      </c>
      <c r="K137">
        <f t="shared" si="16"/>
        <v>24.550972437279558</v>
      </c>
    </row>
    <row r="138" spans="3:11" x14ac:dyDescent="0.3">
      <c r="C138" t="s">
        <v>16</v>
      </c>
      <c r="D138">
        <v>17</v>
      </c>
      <c r="E138">
        <v>412251</v>
      </c>
      <c r="F138">
        <v>411372</v>
      </c>
      <c r="G138">
        <v>411419</v>
      </c>
      <c r="I138">
        <f t="shared" si="17"/>
        <v>233.59555222425172</v>
      </c>
      <c r="J138">
        <f t="shared" ref="J138:J151" si="18">(F138-$H$122)/F138*100*1000</f>
        <v>20.41947434438902</v>
      </c>
      <c r="K138">
        <f t="shared" ref="K138:K151" si="19">(G138-$H$122)/G138*100*1000</f>
        <v>31.841018523694821</v>
      </c>
    </row>
    <row r="139" spans="3:11" x14ac:dyDescent="0.3">
      <c r="C139" t="s">
        <v>16</v>
      </c>
      <c r="D139">
        <v>18</v>
      </c>
      <c r="E139">
        <v>412251</v>
      </c>
      <c r="F139">
        <v>411368</v>
      </c>
      <c r="G139">
        <v>411366</v>
      </c>
      <c r="I139">
        <f t="shared" si="17"/>
        <v>233.59555222425172</v>
      </c>
      <c r="J139">
        <f t="shared" si="18"/>
        <v>19.447307520273817</v>
      </c>
      <c r="K139">
        <f t="shared" si="19"/>
        <v>18.96121701842155</v>
      </c>
    </row>
    <row r="140" spans="3:11" x14ac:dyDescent="0.3">
      <c r="C140" t="s">
        <v>16</v>
      </c>
      <c r="D140">
        <v>19</v>
      </c>
      <c r="E140">
        <v>412251</v>
      </c>
      <c r="F140">
        <v>411383</v>
      </c>
      <c r="G140">
        <v>411331</v>
      </c>
      <c r="I140">
        <f t="shared" si="17"/>
        <v>233.59555222425172</v>
      </c>
      <c r="J140">
        <f t="shared" si="18"/>
        <v>23.092835630057632</v>
      </c>
      <c r="K140">
        <f t="shared" si="19"/>
        <v>10.453868052736119</v>
      </c>
    </row>
    <row r="141" spans="3:11" x14ac:dyDescent="0.3">
      <c r="C141" t="s">
        <v>16</v>
      </c>
      <c r="D141">
        <v>20</v>
      </c>
      <c r="E141">
        <v>412251</v>
      </c>
      <c r="F141">
        <v>412251</v>
      </c>
      <c r="G141">
        <v>411347</v>
      </c>
      <c r="I141">
        <f t="shared" si="17"/>
        <v>233.59555222425172</v>
      </c>
      <c r="J141">
        <f t="shared" si="18"/>
        <v>233.59555222425172</v>
      </c>
      <c r="K141">
        <f t="shared" si="19"/>
        <v>14.343121500825339</v>
      </c>
    </row>
    <row r="142" spans="3:11" x14ac:dyDescent="0.3">
      <c r="C142" t="s">
        <v>16</v>
      </c>
      <c r="D142">
        <v>21</v>
      </c>
      <c r="E142">
        <v>412251</v>
      </c>
      <c r="F142">
        <v>411332</v>
      </c>
      <c r="G142">
        <v>411291</v>
      </c>
      <c r="I142">
        <f t="shared" si="17"/>
        <v>233.59555222425172</v>
      </c>
      <c r="J142">
        <f t="shared" si="18"/>
        <v>10.696955257553508</v>
      </c>
      <c r="K142">
        <f t="shared" si="19"/>
        <v>0.72941056332377807</v>
      </c>
    </row>
    <row r="143" spans="3:11" x14ac:dyDescent="0.3">
      <c r="C143" t="s">
        <v>16</v>
      </c>
      <c r="D143">
        <v>22</v>
      </c>
      <c r="E143">
        <v>412251</v>
      </c>
      <c r="F143">
        <v>412251</v>
      </c>
      <c r="G143">
        <v>411415</v>
      </c>
      <c r="I143">
        <f t="shared" si="17"/>
        <v>233.59555222425172</v>
      </c>
      <c r="J143">
        <f t="shared" si="18"/>
        <v>233.59555222425172</v>
      </c>
      <c r="K143">
        <f t="shared" si="19"/>
        <v>30.869073806254026</v>
      </c>
    </row>
    <row r="144" spans="3:11" x14ac:dyDescent="0.3">
      <c r="C144" t="s">
        <v>16</v>
      </c>
      <c r="D144">
        <v>23</v>
      </c>
      <c r="E144">
        <v>412251</v>
      </c>
      <c r="F144">
        <v>411321</v>
      </c>
      <c r="G144">
        <v>411415</v>
      </c>
      <c r="I144">
        <f t="shared" si="17"/>
        <v>233.59555222425172</v>
      </c>
      <c r="J144">
        <f t="shared" si="18"/>
        <v>8.0229309954998644</v>
      </c>
      <c r="K144">
        <f t="shared" si="19"/>
        <v>30.869073806254026</v>
      </c>
    </row>
    <row r="145" spans="1:11" x14ac:dyDescent="0.3">
      <c r="C145" t="s">
        <v>16</v>
      </c>
      <c r="D145">
        <v>24</v>
      </c>
      <c r="E145">
        <v>412251</v>
      </c>
      <c r="F145">
        <v>412251</v>
      </c>
      <c r="G145">
        <v>411333</v>
      </c>
      <c r="I145">
        <f t="shared" si="17"/>
        <v>233.59555222425172</v>
      </c>
      <c r="J145">
        <f t="shared" si="18"/>
        <v>233.59555222425172</v>
      </c>
      <c r="K145">
        <f t="shared" si="19"/>
        <v>10.940041280422431</v>
      </c>
    </row>
    <row r="146" spans="1:11" x14ac:dyDescent="0.3">
      <c r="C146" t="s">
        <v>16</v>
      </c>
      <c r="D146">
        <v>25</v>
      </c>
      <c r="E146">
        <v>412251</v>
      </c>
      <c r="F146">
        <v>411333</v>
      </c>
      <c r="G146">
        <v>411345</v>
      </c>
      <c r="I146">
        <f t="shared" si="17"/>
        <v>233.59555222425172</v>
      </c>
      <c r="J146">
        <f t="shared" si="18"/>
        <v>10.940041280422431</v>
      </c>
      <c r="K146">
        <f t="shared" si="19"/>
        <v>13.856981366006636</v>
      </c>
    </row>
    <row r="147" spans="1:11" x14ac:dyDescent="0.3">
      <c r="C147" t="s">
        <v>16</v>
      </c>
      <c r="D147">
        <v>26</v>
      </c>
      <c r="E147">
        <v>412251</v>
      </c>
      <c r="F147">
        <v>411366</v>
      </c>
      <c r="G147">
        <v>411440</v>
      </c>
      <c r="I147">
        <f t="shared" si="17"/>
        <v>233.59555222425172</v>
      </c>
      <c r="J147">
        <f t="shared" si="18"/>
        <v>18.96121701842155</v>
      </c>
      <c r="K147">
        <f t="shared" si="19"/>
        <v>36.943418238382264</v>
      </c>
    </row>
    <row r="148" spans="1:11" x14ac:dyDescent="0.3">
      <c r="C148" t="s">
        <v>16</v>
      </c>
      <c r="D148">
        <v>27</v>
      </c>
      <c r="E148">
        <v>412251</v>
      </c>
      <c r="F148">
        <v>411353</v>
      </c>
      <c r="G148">
        <v>411327</v>
      </c>
      <c r="I148">
        <f t="shared" si="17"/>
        <v>233.59555222425172</v>
      </c>
      <c r="J148">
        <f t="shared" si="18"/>
        <v>15.801513541897107</v>
      </c>
      <c r="K148">
        <f t="shared" si="19"/>
        <v>9.4815074138094513</v>
      </c>
    </row>
    <row r="149" spans="1:11" x14ac:dyDescent="0.3">
      <c r="C149" t="s">
        <v>16</v>
      </c>
      <c r="D149">
        <v>28</v>
      </c>
      <c r="E149">
        <v>412251</v>
      </c>
      <c r="F149">
        <v>411335</v>
      </c>
      <c r="G149">
        <v>411356</v>
      </c>
      <c r="I149">
        <f t="shared" si="17"/>
        <v>233.59555222425172</v>
      </c>
      <c r="J149">
        <f t="shared" si="18"/>
        <v>11.426209780349351</v>
      </c>
      <c r="K149">
        <f t="shared" si="19"/>
        <v>16.530693608455937</v>
      </c>
    </row>
    <row r="150" spans="1:11" x14ac:dyDescent="0.3">
      <c r="C150" t="s">
        <v>16</v>
      </c>
      <c r="D150">
        <v>29</v>
      </c>
      <c r="E150">
        <v>412251</v>
      </c>
      <c r="F150">
        <v>412251</v>
      </c>
      <c r="G150">
        <v>412251</v>
      </c>
      <c r="I150">
        <f t="shared" si="17"/>
        <v>233.59555222425172</v>
      </c>
      <c r="J150">
        <f t="shared" si="18"/>
        <v>233.59555222425172</v>
      </c>
      <c r="K150">
        <f t="shared" si="19"/>
        <v>233.59555222425172</v>
      </c>
    </row>
    <row r="151" spans="1:11" x14ac:dyDescent="0.3">
      <c r="C151" t="s">
        <v>16</v>
      </c>
      <c r="D151">
        <v>30</v>
      </c>
      <c r="E151">
        <v>412251</v>
      </c>
      <c r="F151">
        <v>412251</v>
      </c>
      <c r="G151">
        <v>411288</v>
      </c>
      <c r="I151">
        <f t="shared" si="17"/>
        <v>233.59555222425172</v>
      </c>
      <c r="J151">
        <f t="shared" si="18"/>
        <v>233.59555222425172</v>
      </c>
      <c r="K151">
        <f t="shared" si="19"/>
        <v>0</v>
      </c>
    </row>
    <row r="152" spans="1:11" x14ac:dyDescent="0.3">
      <c r="A152">
        <v>120</v>
      </c>
      <c r="B152">
        <v>6</v>
      </c>
      <c r="C152" t="s">
        <v>17</v>
      </c>
      <c r="D152">
        <v>1</v>
      </c>
      <c r="E152">
        <v>422515</v>
      </c>
      <c r="F152">
        <v>421451</v>
      </c>
      <c r="G152">
        <v>421431</v>
      </c>
      <c r="H152">
        <f>MIN(E152:G181)</f>
        <v>421336</v>
      </c>
      <c r="I152">
        <f>(E152-$H$152)/E152*100*1000</f>
        <v>279.04334757345896</v>
      </c>
      <c r="J152">
        <f t="shared" ref="J152:K167" si="20">(F152-$H$152)/F152*100*1000</f>
        <v>27.286683386680778</v>
      </c>
      <c r="K152">
        <f t="shared" si="20"/>
        <v>22.54224297690488</v>
      </c>
    </row>
    <row r="153" spans="1:11" x14ac:dyDescent="0.3">
      <c r="C153" t="s">
        <v>17</v>
      </c>
      <c r="D153">
        <v>2</v>
      </c>
      <c r="E153">
        <v>422592</v>
      </c>
      <c r="F153">
        <v>421388</v>
      </c>
      <c r="G153">
        <v>421458</v>
      </c>
      <c r="I153">
        <f t="shared" ref="I153:I181" si="21">(E153-$H$152)/E153*100*1000</f>
        <v>297.21338785400576</v>
      </c>
      <c r="J153">
        <f t="shared" si="20"/>
        <v>12.340171053755682</v>
      </c>
      <c r="K153">
        <f t="shared" si="20"/>
        <v>28.947131149485831</v>
      </c>
    </row>
    <row r="154" spans="1:11" x14ac:dyDescent="0.3">
      <c r="C154" t="s">
        <v>17</v>
      </c>
      <c r="D154">
        <v>3</v>
      </c>
      <c r="E154">
        <v>422322</v>
      </c>
      <c r="F154">
        <v>421898</v>
      </c>
      <c r="G154">
        <v>421525</v>
      </c>
      <c r="I154">
        <f t="shared" si="21"/>
        <v>233.47114287202655</v>
      </c>
      <c r="J154">
        <f t="shared" si="20"/>
        <v>133.20755253639504</v>
      </c>
      <c r="K154">
        <f t="shared" si="20"/>
        <v>44.837198268192871</v>
      </c>
    </row>
    <row r="155" spans="1:11" x14ac:dyDescent="0.3">
      <c r="C155" t="s">
        <v>17</v>
      </c>
      <c r="D155">
        <v>4</v>
      </c>
      <c r="E155">
        <v>432361</v>
      </c>
      <c r="F155">
        <v>421381</v>
      </c>
      <c r="G155">
        <v>421436</v>
      </c>
      <c r="I155">
        <f t="shared" si="21"/>
        <v>2549.9524702736835</v>
      </c>
      <c r="J155">
        <f t="shared" si="20"/>
        <v>10.679171581063217</v>
      </c>
      <c r="K155">
        <f t="shared" si="20"/>
        <v>23.728395296082919</v>
      </c>
    </row>
    <row r="156" spans="1:11" x14ac:dyDescent="0.3">
      <c r="C156" t="s">
        <v>17</v>
      </c>
      <c r="D156">
        <v>5</v>
      </c>
      <c r="E156">
        <v>422130</v>
      </c>
      <c r="F156">
        <v>421707</v>
      </c>
      <c r="G156">
        <v>421449</v>
      </c>
      <c r="I156">
        <f t="shared" si="21"/>
        <v>188.0937152062161</v>
      </c>
      <c r="J156">
        <f t="shared" si="20"/>
        <v>87.975774649223268</v>
      </c>
      <c r="K156">
        <f t="shared" si="20"/>
        <v>26.812259609110473</v>
      </c>
    </row>
    <row r="157" spans="1:11" x14ac:dyDescent="0.3">
      <c r="C157" t="s">
        <v>17</v>
      </c>
      <c r="D157">
        <v>6</v>
      </c>
      <c r="E157">
        <v>422275</v>
      </c>
      <c r="F157">
        <v>421413</v>
      </c>
      <c r="G157">
        <v>421426</v>
      </c>
      <c r="I157">
        <f t="shared" si="21"/>
        <v>222.36694097448344</v>
      </c>
      <c r="J157">
        <f t="shared" si="20"/>
        <v>18.271861570478368</v>
      </c>
      <c r="K157">
        <f t="shared" si="20"/>
        <v>21.35606251156787</v>
      </c>
    </row>
    <row r="158" spans="1:11" x14ac:dyDescent="0.3">
      <c r="C158" t="s">
        <v>17</v>
      </c>
      <c r="D158">
        <v>7</v>
      </c>
      <c r="E158">
        <v>422445</v>
      </c>
      <c r="F158">
        <v>421387</v>
      </c>
      <c r="G158">
        <v>421448</v>
      </c>
      <c r="I158">
        <f t="shared" si="21"/>
        <v>262.51938122122408</v>
      </c>
      <c r="J158">
        <f t="shared" si="20"/>
        <v>12.102888793436913</v>
      </c>
      <c r="K158">
        <f t="shared" si="20"/>
        <v>26.575046031776164</v>
      </c>
    </row>
    <row r="159" spans="1:11" x14ac:dyDescent="0.3">
      <c r="C159" t="s">
        <v>17</v>
      </c>
      <c r="D159">
        <v>8</v>
      </c>
      <c r="E159">
        <v>422046</v>
      </c>
      <c r="F159">
        <v>421385</v>
      </c>
      <c r="G159">
        <v>421389</v>
      </c>
      <c r="I159">
        <f t="shared" si="21"/>
        <v>168.22810783658653</v>
      </c>
      <c r="J159">
        <f t="shared" si="20"/>
        <v>11.628320894194145</v>
      </c>
      <c r="K159">
        <f t="shared" si="20"/>
        <v>12.577452187883406</v>
      </c>
    </row>
    <row r="160" spans="1:11" x14ac:dyDescent="0.3">
      <c r="C160" t="s">
        <v>17</v>
      </c>
      <c r="D160">
        <v>9</v>
      </c>
      <c r="E160">
        <v>422370</v>
      </c>
      <c r="F160">
        <v>421425</v>
      </c>
      <c r="G160">
        <v>421377</v>
      </c>
      <c r="I160">
        <f t="shared" si="21"/>
        <v>244.80905367331962</v>
      </c>
      <c r="J160">
        <f t="shared" si="20"/>
        <v>21.118823040873227</v>
      </c>
      <c r="K160">
        <f t="shared" si="20"/>
        <v>9.7300042479774635</v>
      </c>
    </row>
    <row r="161" spans="3:11" x14ac:dyDescent="0.3">
      <c r="C161" t="s">
        <v>17</v>
      </c>
      <c r="D161">
        <v>10</v>
      </c>
      <c r="E161">
        <v>422579</v>
      </c>
      <c r="F161">
        <v>421988</v>
      </c>
      <c r="G161">
        <v>421405</v>
      </c>
      <c r="I161">
        <f t="shared" si="21"/>
        <v>294.1461833172022</v>
      </c>
      <c r="J161">
        <f t="shared" si="20"/>
        <v>154.50676322549455</v>
      </c>
      <c r="K161">
        <f t="shared" si="20"/>
        <v>16.373797178486257</v>
      </c>
    </row>
    <row r="162" spans="3:11" x14ac:dyDescent="0.3">
      <c r="C162" t="s">
        <v>17</v>
      </c>
      <c r="D162">
        <v>11</v>
      </c>
      <c r="E162">
        <v>422235</v>
      </c>
      <c r="F162">
        <v>421437</v>
      </c>
      <c r="G162">
        <v>421336</v>
      </c>
      <c r="I162">
        <f t="shared" si="21"/>
        <v>212.91460916314375</v>
      </c>
      <c r="J162">
        <f t="shared" si="20"/>
        <v>23.965622382467604</v>
      </c>
      <c r="K162">
        <f t="shared" si="20"/>
        <v>0</v>
      </c>
    </row>
    <row r="163" spans="3:11" x14ac:dyDescent="0.3">
      <c r="C163" t="s">
        <v>17</v>
      </c>
      <c r="D163">
        <v>12</v>
      </c>
      <c r="E163">
        <v>432320</v>
      </c>
      <c r="F163">
        <v>421407</v>
      </c>
      <c r="G163">
        <v>421351</v>
      </c>
      <c r="I163">
        <f t="shared" si="21"/>
        <v>2540.7105847520356</v>
      </c>
      <c r="J163">
        <f t="shared" si="20"/>
        <v>16.848320032652516</v>
      </c>
      <c r="K163">
        <f t="shared" si="20"/>
        <v>3.559977311077938</v>
      </c>
    </row>
    <row r="164" spans="3:11" x14ac:dyDescent="0.3">
      <c r="C164" t="s">
        <v>17</v>
      </c>
      <c r="D164">
        <v>13</v>
      </c>
      <c r="E164">
        <v>422318</v>
      </c>
      <c r="F164">
        <v>421419</v>
      </c>
      <c r="G164">
        <v>421396</v>
      </c>
      <c r="I164">
        <f t="shared" si="21"/>
        <v>232.52620063554002</v>
      </c>
      <c r="J164">
        <f t="shared" si="20"/>
        <v>19.695362572641482</v>
      </c>
      <c r="K164">
        <f t="shared" si="20"/>
        <v>14.23838859410151</v>
      </c>
    </row>
    <row r="165" spans="3:11" x14ac:dyDescent="0.3">
      <c r="C165" t="s">
        <v>17</v>
      </c>
      <c r="D165">
        <v>14</v>
      </c>
      <c r="E165">
        <v>422348</v>
      </c>
      <c r="F165">
        <v>421431</v>
      </c>
      <c r="G165">
        <v>421464</v>
      </c>
      <c r="I165">
        <f t="shared" si="21"/>
        <v>239.61283112504381</v>
      </c>
      <c r="J165">
        <f t="shared" si="20"/>
        <v>22.54224297690488</v>
      </c>
      <c r="K165">
        <f t="shared" si="20"/>
        <v>30.370328189358997</v>
      </c>
    </row>
    <row r="166" spans="3:11" x14ac:dyDescent="0.3">
      <c r="C166" t="s">
        <v>17</v>
      </c>
      <c r="D166">
        <v>15</v>
      </c>
      <c r="E166">
        <v>422382</v>
      </c>
      <c r="F166">
        <v>421421</v>
      </c>
      <c r="G166">
        <v>421399</v>
      </c>
      <c r="I166">
        <f t="shared" si="21"/>
        <v>247.64312873181149</v>
      </c>
      <c r="J166">
        <f t="shared" si="20"/>
        <v>20.169853899070048</v>
      </c>
      <c r="K166">
        <f t="shared" si="20"/>
        <v>14.950201590416683</v>
      </c>
    </row>
    <row r="167" spans="3:11" x14ac:dyDescent="0.3">
      <c r="C167" t="s">
        <v>17</v>
      </c>
      <c r="D167">
        <v>16</v>
      </c>
      <c r="E167">
        <v>422271</v>
      </c>
      <c r="F167">
        <v>422011</v>
      </c>
      <c r="G167">
        <v>421435</v>
      </c>
      <c r="I167">
        <f t="shared" si="21"/>
        <v>221.42178837760585</v>
      </c>
      <c r="J167">
        <f t="shared" si="20"/>
        <v>159.94843736300712</v>
      </c>
      <c r="K167">
        <f t="shared" si="20"/>
        <v>23.491167083891941</v>
      </c>
    </row>
    <row r="168" spans="3:11" x14ac:dyDescent="0.3">
      <c r="C168" t="s">
        <v>17</v>
      </c>
      <c r="D168">
        <v>17</v>
      </c>
      <c r="E168">
        <v>422443</v>
      </c>
      <c r="F168">
        <v>421401</v>
      </c>
      <c r="G168">
        <v>421470</v>
      </c>
      <c r="I168">
        <f t="shared" si="21"/>
        <v>262.04718743120378</v>
      </c>
      <c r="J168">
        <f t="shared" ref="J168:J181" si="22">(F168-$H$152)/F168*100*1000</f>
        <v>15.424737957432471</v>
      </c>
      <c r="K168">
        <f t="shared" ref="K168:K181" si="23">(G168-$H$152)/G168*100*1000</f>
        <v>31.793484708282914</v>
      </c>
    </row>
    <row r="169" spans="3:11" x14ac:dyDescent="0.3">
      <c r="C169" t="s">
        <v>17</v>
      </c>
      <c r="D169">
        <v>18</v>
      </c>
      <c r="E169">
        <v>422528</v>
      </c>
      <c r="F169">
        <v>421421</v>
      </c>
      <c r="G169">
        <v>421447</v>
      </c>
      <c r="I169">
        <f t="shared" si="21"/>
        <v>282.11148136928199</v>
      </c>
      <c r="J169">
        <f t="shared" si="22"/>
        <v>20.169853899070048</v>
      </c>
      <c r="K169">
        <f t="shared" si="23"/>
        <v>26.337831328731724</v>
      </c>
    </row>
    <row r="170" spans="3:11" x14ac:dyDescent="0.3">
      <c r="C170" t="s">
        <v>17</v>
      </c>
      <c r="D170">
        <v>19</v>
      </c>
      <c r="E170">
        <v>422764</v>
      </c>
      <c r="F170">
        <v>422287</v>
      </c>
      <c r="G170">
        <v>421359</v>
      </c>
      <c r="I170">
        <f t="shared" si="21"/>
        <v>337.77710495690269</v>
      </c>
      <c r="J170">
        <f t="shared" si="22"/>
        <v>225.20229133267185</v>
      </c>
      <c r="K170">
        <f t="shared" si="23"/>
        <v>5.4585282383905405</v>
      </c>
    </row>
    <row r="171" spans="3:11" x14ac:dyDescent="0.3">
      <c r="C171" t="s">
        <v>17</v>
      </c>
      <c r="D171">
        <v>20</v>
      </c>
      <c r="E171">
        <v>422464</v>
      </c>
      <c r="F171">
        <v>421365</v>
      </c>
      <c r="G171">
        <v>421415</v>
      </c>
      <c r="I171">
        <f t="shared" si="21"/>
        <v>267.00499924253899</v>
      </c>
      <c r="J171">
        <f t="shared" si="22"/>
        <v>6.8823941238593624</v>
      </c>
      <c r="K171">
        <f t="shared" si="23"/>
        <v>18.746366408409763</v>
      </c>
    </row>
    <row r="172" spans="3:11" x14ac:dyDescent="0.3">
      <c r="C172" t="s">
        <v>17</v>
      </c>
      <c r="D172">
        <v>21</v>
      </c>
      <c r="E172">
        <v>422163</v>
      </c>
      <c r="F172">
        <v>421524</v>
      </c>
      <c r="G172">
        <v>422016</v>
      </c>
      <c r="I172">
        <f t="shared" si="21"/>
        <v>195.89589802990787</v>
      </c>
      <c r="J172">
        <f t="shared" si="22"/>
        <v>44.600070221387156</v>
      </c>
      <c r="K172">
        <f t="shared" si="23"/>
        <v>161.13133151349712</v>
      </c>
    </row>
    <row r="173" spans="3:11" x14ac:dyDescent="0.3">
      <c r="C173" t="s">
        <v>17</v>
      </c>
      <c r="D173">
        <v>22</v>
      </c>
      <c r="E173">
        <v>422805</v>
      </c>
      <c r="F173">
        <v>421433</v>
      </c>
      <c r="G173">
        <v>421378</v>
      </c>
      <c r="I173">
        <f t="shared" si="21"/>
        <v>347.44149194072924</v>
      </c>
      <c r="J173">
        <f t="shared" si="22"/>
        <v>23.01670728205907</v>
      </c>
      <c r="K173">
        <f t="shared" si="23"/>
        <v>9.9672977706477308</v>
      </c>
    </row>
    <row r="174" spans="3:11" x14ac:dyDescent="0.3">
      <c r="C174" t="s">
        <v>17</v>
      </c>
      <c r="D174">
        <v>23</v>
      </c>
      <c r="E174">
        <v>422337</v>
      </c>
      <c r="F174">
        <v>421417</v>
      </c>
      <c r="G174">
        <v>422160</v>
      </c>
      <c r="I174">
        <f t="shared" si="21"/>
        <v>237.01451684318445</v>
      </c>
      <c r="J174">
        <f t="shared" si="22"/>
        <v>19.220866742442755</v>
      </c>
      <c r="K174">
        <f t="shared" si="23"/>
        <v>195.18665908660225</v>
      </c>
    </row>
    <row r="175" spans="3:11" x14ac:dyDescent="0.3">
      <c r="C175" t="s">
        <v>17</v>
      </c>
      <c r="D175">
        <v>24</v>
      </c>
      <c r="E175">
        <v>422238</v>
      </c>
      <c r="F175">
        <v>422150</v>
      </c>
      <c r="G175">
        <v>421375</v>
      </c>
      <c r="I175">
        <f t="shared" si="21"/>
        <v>213.62359617087992</v>
      </c>
      <c r="J175">
        <f t="shared" si="22"/>
        <v>192.82245647281772</v>
      </c>
      <c r="K175">
        <f t="shared" si="23"/>
        <v>9.2554138237911605</v>
      </c>
    </row>
    <row r="176" spans="3:11" x14ac:dyDescent="0.3">
      <c r="C176" t="s">
        <v>17</v>
      </c>
      <c r="D176">
        <v>25</v>
      </c>
      <c r="E176">
        <v>422469</v>
      </c>
      <c r="F176">
        <v>422028</v>
      </c>
      <c r="G176">
        <v>421412</v>
      </c>
      <c r="I176">
        <f t="shared" si="21"/>
        <v>268.18535797892861</v>
      </c>
      <c r="J176">
        <f t="shared" si="22"/>
        <v>163.97016311713915</v>
      </c>
      <c r="K176">
        <f t="shared" si="23"/>
        <v>18.03460746253073</v>
      </c>
    </row>
    <row r="177" spans="3:11" x14ac:dyDescent="0.3">
      <c r="C177" t="s">
        <v>17</v>
      </c>
      <c r="D177">
        <v>26</v>
      </c>
      <c r="E177">
        <v>422624</v>
      </c>
      <c r="F177">
        <v>421409</v>
      </c>
      <c r="G177">
        <v>421514</v>
      </c>
      <c r="I177">
        <f t="shared" si="21"/>
        <v>304.76262588021501</v>
      </c>
      <c r="J177">
        <f t="shared" si="22"/>
        <v>17.322838382663871</v>
      </c>
      <c r="K177">
        <f t="shared" si="23"/>
        <v>42.228727871434877</v>
      </c>
    </row>
    <row r="178" spans="3:11" x14ac:dyDescent="0.3">
      <c r="C178" t="s">
        <v>17</v>
      </c>
      <c r="D178">
        <v>27</v>
      </c>
      <c r="E178">
        <v>422028</v>
      </c>
      <c r="F178">
        <v>421398</v>
      </c>
      <c r="G178">
        <v>421432</v>
      </c>
      <c r="I178">
        <f t="shared" si="21"/>
        <v>163.97016311713915</v>
      </c>
      <c r="J178">
        <f t="shared" si="22"/>
        <v>14.712931717758508</v>
      </c>
      <c r="K178">
        <f t="shared" si="23"/>
        <v>22.779475692401146</v>
      </c>
    </row>
    <row r="179" spans="3:11" x14ac:dyDescent="0.3">
      <c r="C179" t="s">
        <v>17</v>
      </c>
      <c r="D179">
        <v>28</v>
      </c>
      <c r="E179">
        <v>422182</v>
      </c>
      <c r="F179">
        <v>421375</v>
      </c>
      <c r="G179">
        <v>421422</v>
      </c>
      <c r="I179">
        <f t="shared" si="21"/>
        <v>200.38751059969394</v>
      </c>
      <c r="J179">
        <f t="shared" si="22"/>
        <v>9.2554138237911605</v>
      </c>
      <c r="K179">
        <f t="shared" si="23"/>
        <v>20.407097873390569</v>
      </c>
    </row>
    <row r="180" spans="3:11" x14ac:dyDescent="0.3">
      <c r="C180" t="s">
        <v>17</v>
      </c>
      <c r="D180">
        <v>29</v>
      </c>
      <c r="E180">
        <v>422609</v>
      </c>
      <c r="F180">
        <v>421416</v>
      </c>
      <c r="G180">
        <v>421463</v>
      </c>
      <c r="I180">
        <f t="shared" si="21"/>
        <v>301.22406290448146</v>
      </c>
      <c r="J180">
        <f t="shared" si="22"/>
        <v>18.983617138409553</v>
      </c>
      <c r="K180">
        <f t="shared" si="23"/>
        <v>30.133131496715013</v>
      </c>
    </row>
    <row r="181" spans="3:11" x14ac:dyDescent="0.3">
      <c r="C181" t="s">
        <v>17</v>
      </c>
      <c r="D181">
        <v>30</v>
      </c>
      <c r="E181">
        <v>422335</v>
      </c>
      <c r="F181">
        <v>421606</v>
      </c>
      <c r="G181">
        <v>421391</v>
      </c>
      <c r="I181">
        <f t="shared" si="21"/>
        <v>236.54208152296164</v>
      </c>
      <c r="J181">
        <f t="shared" si="22"/>
        <v>64.040834333477221</v>
      </c>
      <c r="K181">
        <f t="shared" si="23"/>
        <v>13.052011077597765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DBFE-52F4-4CBB-BB40-7A1A2DFFF90B}">
  <dimension ref="A1:AQ301"/>
  <sheetViews>
    <sheetView topLeftCell="U1" workbookViewId="0">
      <selection activeCell="AI1" sqref="AI1:AQ1"/>
    </sheetView>
  </sheetViews>
  <sheetFormatPr defaultRowHeight="16.5" x14ac:dyDescent="0.3"/>
  <sheetData>
    <row r="1" spans="1:43" x14ac:dyDescent="0.3">
      <c r="A1" t="s">
        <v>76</v>
      </c>
      <c r="B1" t="s">
        <v>77</v>
      </c>
      <c r="C1" t="s">
        <v>34</v>
      </c>
      <c r="D1" t="s">
        <v>40</v>
      </c>
      <c r="E1" t="s">
        <v>41</v>
      </c>
      <c r="F1" t="s">
        <v>42</v>
      </c>
      <c r="G1" t="s">
        <v>38</v>
      </c>
      <c r="H1" t="s">
        <v>39</v>
      </c>
      <c r="I1" t="s">
        <v>35</v>
      </c>
      <c r="J1" t="s">
        <v>36</v>
      </c>
      <c r="K1" t="s">
        <v>37</v>
      </c>
      <c r="L1" t="s">
        <v>78</v>
      </c>
      <c r="M1" t="s">
        <v>34</v>
      </c>
      <c r="N1" t="s">
        <v>40</v>
      </c>
      <c r="O1" t="s">
        <v>41</v>
      </c>
      <c r="P1" t="s">
        <v>42</v>
      </c>
      <c r="Q1" t="s">
        <v>38</v>
      </c>
      <c r="R1" t="s">
        <v>39</v>
      </c>
      <c r="S1" t="s">
        <v>35</v>
      </c>
      <c r="T1" t="s">
        <v>36</v>
      </c>
      <c r="U1" t="s">
        <v>37</v>
      </c>
      <c r="X1" t="s">
        <v>34</v>
      </c>
      <c r="Y1" t="s">
        <v>40</v>
      </c>
      <c r="Z1" t="s">
        <v>41</v>
      </c>
      <c r="AA1" t="s">
        <v>42</v>
      </c>
      <c r="AB1" t="s">
        <v>38</v>
      </c>
      <c r="AC1" t="s">
        <v>39</v>
      </c>
      <c r="AD1" t="s">
        <v>35</v>
      </c>
      <c r="AE1" t="s">
        <v>36</v>
      </c>
      <c r="AF1" t="s">
        <v>37</v>
      </c>
      <c r="AI1" t="s">
        <v>34</v>
      </c>
      <c r="AJ1" t="s">
        <v>40</v>
      </c>
      <c r="AK1" t="s">
        <v>41</v>
      </c>
      <c r="AL1" t="s">
        <v>42</v>
      </c>
      <c r="AM1" t="s">
        <v>38</v>
      </c>
      <c r="AN1" t="s">
        <v>39</v>
      </c>
      <c r="AO1" t="s">
        <v>35</v>
      </c>
      <c r="AP1" t="s">
        <v>36</v>
      </c>
      <c r="AQ1" t="s">
        <v>37</v>
      </c>
    </row>
    <row r="2" spans="1:43" x14ac:dyDescent="0.3">
      <c r="A2" t="s">
        <v>0</v>
      </c>
      <c r="B2">
        <v>1</v>
      </c>
      <c r="C2">
        <v>110123</v>
      </c>
      <c r="D2">
        <v>140175</v>
      </c>
      <c r="E2">
        <v>130160</v>
      </c>
      <c r="F2">
        <v>110151</v>
      </c>
      <c r="G2">
        <v>110123</v>
      </c>
      <c r="H2">
        <v>110123</v>
      </c>
      <c r="I2">
        <v>110127</v>
      </c>
      <c r="J2">
        <v>110127</v>
      </c>
      <c r="K2">
        <v>110127</v>
      </c>
      <c r="L2">
        <f ca="1">MIN(INDIRECT("C" &amp; (10*INT((ROW()-2)/10)+2) &amp; ":K" &amp; (10*INT((ROW()-2)/10)+11)))</f>
        <v>110123</v>
      </c>
      <c r="M2">
        <f ca="1">(C2-$L2)/$L2*100*1000</f>
        <v>0</v>
      </c>
      <c r="N2">
        <f t="shared" ref="N2:U2" ca="1" si="0">(D2-$L2)/$L2*100*1000</f>
        <v>27289.485393605333</v>
      </c>
      <c r="O2">
        <f t="shared" ca="1" si="0"/>
        <v>18195.109105273194</v>
      </c>
      <c r="P2">
        <f t="shared" ca="1" si="0"/>
        <v>25.426114435676471</v>
      </c>
      <c r="Q2">
        <f t="shared" ca="1" si="0"/>
        <v>0</v>
      </c>
      <c r="R2">
        <f t="shared" ca="1" si="0"/>
        <v>0</v>
      </c>
      <c r="S2">
        <f t="shared" ca="1" si="0"/>
        <v>3.6323020622394955</v>
      </c>
      <c r="T2">
        <f t="shared" ca="1" si="0"/>
        <v>3.6323020622394955</v>
      </c>
      <c r="U2">
        <f t="shared" ca="1" si="0"/>
        <v>3.6323020622394955</v>
      </c>
      <c r="W2" t="s">
        <v>0</v>
      </c>
      <c r="X2">
        <f ca="1">AVERAGE(INDIRECT("M" &amp; (10*(ROW()-2)+2) &amp; ":M" &amp; (10*(ROW()-1)+1)))</f>
        <v>0</v>
      </c>
      <c r="Y2">
        <f ca="1">AVERAGE(INDIRECT("N" &amp; (10*(ROW()-2)+2) &amp; ":N" &amp; (10*(ROW()-1)+1)))</f>
        <v>27289.485393605333</v>
      </c>
      <c r="Z2">
        <f ca="1">AVERAGE(INDIRECT("O" &amp; (10*(ROW()-2)+2) &amp; ":O" &amp; (10*(ROW()-1)+1)))</f>
        <v>18195.109105273197</v>
      </c>
      <c r="AA2">
        <f ca="1">AVERAGE(INDIRECT("P" &amp; (10*(ROW()-2)+2) &amp; ":P" &amp; (10*(ROW()-1)+1)))</f>
        <v>25.426114435676475</v>
      </c>
      <c r="AB2">
        <f ca="1">AVERAGE(INDIRECT("Q" &amp; (10*(ROW()-2)+2) &amp; ":Q" &amp; (10*(ROW()-1)+1)))</f>
        <v>0</v>
      </c>
      <c r="AC2">
        <f ca="1">AVERAGE(INDIRECT("R" &amp; (10*(ROW()-2)+2) &amp; ":R" &amp; (10*(ROW()-1)+1)))</f>
        <v>0</v>
      </c>
      <c r="AD2">
        <f ca="1">AVERAGE(INDIRECT("S" &amp; (10*(ROW()-2)+2) &amp; ":S" &amp; (10*(ROW()-1)+1)))</f>
        <v>3.6323020622394955</v>
      </c>
      <c r="AE2">
        <f ca="1">AVERAGE(INDIRECT("T" &amp; (10*(ROW()-2)+2) &amp; ":T" &amp; (10*(ROW()-1)+1)))</f>
        <v>3.6323020622394955</v>
      </c>
      <c r="AF2">
        <f ca="1">AVERAGE(INDIRECT("U" &amp; (10*(ROW()-2)+2) &amp; ":U" &amp; (10*(ROW()-1)+1)))</f>
        <v>3.6323020622394955</v>
      </c>
      <c r="AH2" t="s">
        <v>0</v>
      </c>
      <c r="AI2">
        <f ca="1">MIN(101,X2)</f>
        <v>0</v>
      </c>
      <c r="AJ2">
        <f t="shared" ref="AJ2:AQ17" ca="1" si="1">MIN(101,Y2)</f>
        <v>101</v>
      </c>
      <c r="AK2">
        <f t="shared" ca="1" si="1"/>
        <v>101</v>
      </c>
      <c r="AL2">
        <f t="shared" ca="1" si="1"/>
        <v>25.426114435676475</v>
      </c>
      <c r="AM2">
        <f t="shared" ca="1" si="1"/>
        <v>0</v>
      </c>
      <c r="AN2">
        <f t="shared" ca="1" si="1"/>
        <v>0</v>
      </c>
      <c r="AO2">
        <f t="shared" ca="1" si="1"/>
        <v>3.6323020622394955</v>
      </c>
      <c r="AP2">
        <f t="shared" ca="1" si="1"/>
        <v>3.6323020622394955</v>
      </c>
      <c r="AQ2">
        <f t="shared" ca="1" si="1"/>
        <v>3.6323020622394955</v>
      </c>
    </row>
    <row r="3" spans="1:43" x14ac:dyDescent="0.3">
      <c r="A3" t="s">
        <v>0</v>
      </c>
      <c r="B3">
        <v>2</v>
      </c>
      <c r="C3">
        <v>110123</v>
      </c>
      <c r="D3">
        <v>140175</v>
      </c>
      <c r="E3">
        <v>130160</v>
      </c>
      <c r="F3">
        <v>110151</v>
      </c>
      <c r="G3">
        <v>110123</v>
      </c>
      <c r="H3">
        <v>110123</v>
      </c>
      <c r="I3">
        <v>110127</v>
      </c>
      <c r="J3">
        <v>110127</v>
      </c>
      <c r="K3">
        <v>110127</v>
      </c>
      <c r="L3">
        <f t="shared" ref="L3:L66" ca="1" si="2">MIN(INDIRECT("C" &amp; (10*INT((ROW()-2)/10)+2) &amp; ":K" &amp; (10*INT((ROW()-2)/10)+11)))</f>
        <v>110123</v>
      </c>
      <c r="M3">
        <f t="shared" ref="M3:M66" ca="1" si="3">(C3-$L3)/$L3*100*1000</f>
        <v>0</v>
      </c>
      <c r="N3">
        <f t="shared" ref="N3:N66" ca="1" si="4">(D3-$L3)/$L3*100*1000</f>
        <v>27289.485393605333</v>
      </c>
      <c r="O3">
        <f t="shared" ref="O3:O66" ca="1" si="5">(E3-$L3)/$L3*100*1000</f>
        <v>18195.109105273194</v>
      </c>
      <c r="P3">
        <f t="shared" ref="P3:P66" ca="1" si="6">(F3-$L3)/$L3*100*1000</f>
        <v>25.426114435676471</v>
      </c>
      <c r="Q3">
        <f t="shared" ref="Q3:Q66" ca="1" si="7">(G3-$L3)/$L3*100*1000</f>
        <v>0</v>
      </c>
      <c r="R3">
        <f t="shared" ref="R3:R66" ca="1" si="8">(H3-$L3)/$L3*100*1000</f>
        <v>0</v>
      </c>
      <c r="S3">
        <f t="shared" ref="S3:S66" ca="1" si="9">(I3-$L3)/$L3*100*1000</f>
        <v>3.6323020622394955</v>
      </c>
      <c r="T3">
        <f t="shared" ref="T3:T66" ca="1" si="10">(J3-$L3)/$L3*100*1000</f>
        <v>3.6323020622394955</v>
      </c>
      <c r="U3">
        <f t="shared" ref="U3:U66" ca="1" si="11">(K3-$L3)/$L3*100*1000</f>
        <v>3.6323020622394955</v>
      </c>
      <c r="W3" t="s">
        <v>2</v>
      </c>
      <c r="X3">
        <f t="shared" ref="X3:X31" ca="1" si="12">AVERAGE(INDIRECT("M" &amp; (10*(ROW()-2)+2) &amp; ":M" &amp; (10*(ROW()-1)+1)))</f>
        <v>3.3988443929064118</v>
      </c>
      <c r="Y3">
        <f t="shared" ref="Y3:Y31" ca="1" si="13">AVERAGE(INDIRECT("N" &amp; (10*(ROW()-2)+2) &amp; ":N" &amp; (10*(ROW()-1)+1)))</f>
        <v>19996.201291560868</v>
      </c>
      <c r="Z3">
        <f t="shared" ref="Z3:Z31" ca="1" si="14">AVERAGE(INDIRECT("O" &amp; (10*(ROW()-2)+2) &amp; ":O" &amp; (10*(ROW()-1)+1)))</f>
        <v>20016.194493872081</v>
      </c>
      <c r="AA3">
        <f t="shared" ref="AA3:AA31" ca="1" si="15">AVERAGE(INDIRECT("P" &amp; (10*(ROW()-2)+2) &amp; ":P" &amp; (10*(ROW()-1)+1)))</f>
        <v>23.991842773457023</v>
      </c>
      <c r="AB3">
        <f t="shared" ref="AB3:AB31" ca="1" si="16">AVERAGE(INDIRECT("Q" &amp; (10*(ROW()-2)+2) &amp; ":Q" &amp; (10*(ROW()-1)+1)))</f>
        <v>5.0982665893596177</v>
      </c>
      <c r="AC3">
        <f t="shared" ref="AC3:AC31" ca="1" si="17">AVERAGE(INDIRECT("R" &amp; (10*(ROW()-2)+2) &amp; ":R" &amp; (10*(ROW()-1)+1)))</f>
        <v>4.4984705200231918</v>
      </c>
      <c r="AD3">
        <f t="shared" ref="AD3:AD31" ca="1" si="18">AVERAGE(INDIRECT("S" &amp; (10*(ROW()-2)+2) &amp; ":S" &amp; (10*(ROW()-1)+1)))</f>
        <v>5.3981646240278298</v>
      </c>
      <c r="AE3">
        <f t="shared" ref="AE3:AE31" ca="1" si="19">AVERAGE(INDIRECT("T" &amp; (10*(ROW()-2)+2) &amp; ":T" &amp; (10*(ROW()-1)+1)))</f>
        <v>5.9979606933642557</v>
      </c>
      <c r="AF3">
        <f t="shared" ref="AF3:AF31" ca="1" si="20">AVERAGE(INDIRECT("U" &amp; (10*(ROW()-2)+2) &amp; ":U" &amp; (10*(ROW()-1)+1)))</f>
        <v>5.8979946818081839</v>
      </c>
      <c r="AH3" t="s">
        <v>2</v>
      </c>
      <c r="AI3">
        <f t="shared" ref="AI3:AI31" ca="1" si="21">MIN(101,X3)</f>
        <v>3.3988443929064118</v>
      </c>
      <c r="AJ3">
        <f t="shared" ca="1" si="1"/>
        <v>101</v>
      </c>
      <c r="AK3">
        <f t="shared" ca="1" si="1"/>
        <v>101</v>
      </c>
      <c r="AL3">
        <f t="shared" ca="1" si="1"/>
        <v>23.991842773457023</v>
      </c>
      <c r="AM3">
        <f t="shared" ca="1" si="1"/>
        <v>5.0982665893596177</v>
      </c>
      <c r="AN3">
        <f t="shared" ca="1" si="1"/>
        <v>4.4984705200231918</v>
      </c>
      <c r="AO3">
        <f t="shared" ca="1" si="1"/>
        <v>5.3981646240278298</v>
      </c>
      <c r="AP3">
        <f t="shared" ca="1" si="1"/>
        <v>5.9979606933642557</v>
      </c>
      <c r="AQ3">
        <f t="shared" ca="1" si="1"/>
        <v>5.8979946818081839</v>
      </c>
    </row>
    <row r="4" spans="1:43" x14ac:dyDescent="0.3">
      <c r="A4" t="s">
        <v>43</v>
      </c>
      <c r="B4">
        <v>3</v>
      </c>
      <c r="C4">
        <v>110123</v>
      </c>
      <c r="D4">
        <v>140175</v>
      </c>
      <c r="E4">
        <v>130160</v>
      </c>
      <c r="F4">
        <v>110151</v>
      </c>
      <c r="G4">
        <v>110123</v>
      </c>
      <c r="H4">
        <v>110123</v>
      </c>
      <c r="I4">
        <v>110127</v>
      </c>
      <c r="J4">
        <v>110127</v>
      </c>
      <c r="K4">
        <v>110127</v>
      </c>
      <c r="L4">
        <f t="shared" ca="1" si="2"/>
        <v>110123</v>
      </c>
      <c r="M4">
        <f t="shared" ca="1" si="3"/>
        <v>0</v>
      </c>
      <c r="N4">
        <f t="shared" ca="1" si="4"/>
        <v>27289.485393605333</v>
      </c>
      <c r="O4">
        <f t="shared" ca="1" si="5"/>
        <v>18195.109105273194</v>
      </c>
      <c r="P4">
        <f t="shared" ca="1" si="6"/>
        <v>25.426114435676471</v>
      </c>
      <c r="Q4">
        <f t="shared" ca="1" si="7"/>
        <v>0</v>
      </c>
      <c r="R4">
        <f t="shared" ca="1" si="8"/>
        <v>0</v>
      </c>
      <c r="S4">
        <f t="shared" ca="1" si="9"/>
        <v>3.6323020622394955</v>
      </c>
      <c r="T4">
        <f t="shared" ca="1" si="10"/>
        <v>3.6323020622394955</v>
      </c>
      <c r="U4">
        <f t="shared" ca="1" si="11"/>
        <v>3.6323020622394955</v>
      </c>
      <c r="W4" t="s">
        <v>3</v>
      </c>
      <c r="X4">
        <f t="shared" ca="1" si="12"/>
        <v>4.2832055510343938</v>
      </c>
      <c r="Y4">
        <f t="shared" ca="1" si="13"/>
        <v>7159.3780785539875</v>
      </c>
      <c r="Z4">
        <f t="shared" ca="1" si="14"/>
        <v>7152.9532702274391</v>
      </c>
      <c r="AA4">
        <f t="shared" ca="1" si="15"/>
        <v>6.4248083265515898</v>
      </c>
      <c r="AB4">
        <f t="shared" ca="1" si="16"/>
        <v>1.6418954612298513</v>
      </c>
      <c r="AC4">
        <f t="shared" ca="1" si="17"/>
        <v>2.9982438857240767</v>
      </c>
      <c r="AD4">
        <f t="shared" ca="1" si="18"/>
        <v>4.5687525877700201</v>
      </c>
      <c r="AE4">
        <f t="shared" ca="1" si="19"/>
        <v>4.0690452734826739</v>
      </c>
      <c r="AF4">
        <f t="shared" ca="1" si="20"/>
        <v>4.2832055510343938</v>
      </c>
      <c r="AH4" t="s">
        <v>3</v>
      </c>
      <c r="AI4">
        <f t="shared" ca="1" si="21"/>
        <v>4.2832055510343938</v>
      </c>
      <c r="AJ4">
        <f t="shared" ca="1" si="1"/>
        <v>101</v>
      </c>
      <c r="AK4">
        <f t="shared" ca="1" si="1"/>
        <v>101</v>
      </c>
      <c r="AL4">
        <f t="shared" ca="1" si="1"/>
        <v>6.4248083265515898</v>
      </c>
      <c r="AM4">
        <f t="shared" ca="1" si="1"/>
        <v>1.6418954612298513</v>
      </c>
      <c r="AN4">
        <f t="shared" ca="1" si="1"/>
        <v>2.9982438857240767</v>
      </c>
      <c r="AO4">
        <f t="shared" ca="1" si="1"/>
        <v>4.5687525877700201</v>
      </c>
      <c r="AP4">
        <f t="shared" ca="1" si="1"/>
        <v>4.0690452734826739</v>
      </c>
      <c r="AQ4">
        <f t="shared" ca="1" si="1"/>
        <v>4.2832055510343938</v>
      </c>
    </row>
    <row r="5" spans="1:43" x14ac:dyDescent="0.3">
      <c r="A5" t="s">
        <v>43</v>
      </c>
      <c r="B5">
        <v>4</v>
      </c>
      <c r="C5">
        <v>110123</v>
      </c>
      <c r="D5">
        <v>140175</v>
      </c>
      <c r="E5">
        <v>130160</v>
      </c>
      <c r="F5">
        <v>110151</v>
      </c>
      <c r="G5">
        <v>110123</v>
      </c>
      <c r="H5">
        <v>110123</v>
      </c>
      <c r="I5">
        <v>110127</v>
      </c>
      <c r="J5">
        <v>110127</v>
      </c>
      <c r="K5">
        <v>110127</v>
      </c>
      <c r="L5">
        <f t="shared" ca="1" si="2"/>
        <v>110123</v>
      </c>
      <c r="M5">
        <f t="shared" ca="1" si="3"/>
        <v>0</v>
      </c>
      <c r="N5">
        <f t="shared" ca="1" si="4"/>
        <v>27289.485393605333</v>
      </c>
      <c r="O5">
        <f t="shared" ca="1" si="5"/>
        <v>18195.109105273194</v>
      </c>
      <c r="P5">
        <f t="shared" ca="1" si="6"/>
        <v>25.426114435676471</v>
      </c>
      <c r="Q5">
        <f t="shared" ca="1" si="7"/>
        <v>0</v>
      </c>
      <c r="R5">
        <f t="shared" ca="1" si="8"/>
        <v>0</v>
      </c>
      <c r="S5">
        <f t="shared" ca="1" si="9"/>
        <v>3.6323020622394955</v>
      </c>
      <c r="T5">
        <f t="shared" ca="1" si="10"/>
        <v>3.6323020622394955</v>
      </c>
      <c r="U5">
        <f t="shared" ca="1" si="11"/>
        <v>3.6323020622394955</v>
      </c>
      <c r="W5" t="s">
        <v>4</v>
      </c>
      <c r="X5">
        <f t="shared" ca="1" si="12"/>
        <v>0</v>
      </c>
      <c r="Y5">
        <f t="shared" ca="1" si="13"/>
        <v>24989.801610096823</v>
      </c>
      <c r="Z5">
        <f t="shared" ca="1" si="14"/>
        <v>16669.580492353292</v>
      </c>
      <c r="AA5">
        <f t="shared" ca="1" si="15"/>
        <v>8347.6943313602551</v>
      </c>
      <c r="AB5">
        <f t="shared" ca="1" si="16"/>
        <v>0</v>
      </c>
      <c r="AC5">
        <f t="shared" ca="1" si="17"/>
        <v>1.2487824371238045</v>
      </c>
      <c r="AD5">
        <f t="shared" ca="1" si="18"/>
        <v>0.4162608123746015</v>
      </c>
      <c r="AE5">
        <f t="shared" ca="1" si="19"/>
        <v>1.3320345995987246</v>
      </c>
      <c r="AF5">
        <f t="shared" ca="1" si="20"/>
        <v>0.49951297484952173</v>
      </c>
      <c r="AH5" t="s">
        <v>4</v>
      </c>
      <c r="AI5">
        <f t="shared" ca="1" si="21"/>
        <v>0</v>
      </c>
      <c r="AJ5">
        <f t="shared" ca="1" si="1"/>
        <v>101</v>
      </c>
      <c r="AK5">
        <f t="shared" ca="1" si="1"/>
        <v>101</v>
      </c>
      <c r="AL5">
        <f t="shared" ca="1" si="1"/>
        <v>101</v>
      </c>
      <c r="AM5">
        <f t="shared" ca="1" si="1"/>
        <v>0</v>
      </c>
      <c r="AN5">
        <f t="shared" ca="1" si="1"/>
        <v>1.2487824371238045</v>
      </c>
      <c r="AO5">
        <f t="shared" ca="1" si="1"/>
        <v>0.4162608123746015</v>
      </c>
      <c r="AP5">
        <f t="shared" ca="1" si="1"/>
        <v>1.3320345995987246</v>
      </c>
      <c r="AQ5">
        <f t="shared" ca="1" si="1"/>
        <v>0.49951297484952173</v>
      </c>
    </row>
    <row r="6" spans="1:43" x14ac:dyDescent="0.3">
      <c r="A6" t="s">
        <v>43</v>
      </c>
      <c r="B6">
        <v>5</v>
      </c>
      <c r="C6">
        <v>110123</v>
      </c>
      <c r="D6">
        <v>140175</v>
      </c>
      <c r="E6">
        <v>130160</v>
      </c>
      <c r="F6">
        <v>110151</v>
      </c>
      <c r="G6">
        <v>110123</v>
      </c>
      <c r="H6">
        <v>110123</v>
      </c>
      <c r="I6">
        <v>110127</v>
      </c>
      <c r="J6">
        <v>110127</v>
      </c>
      <c r="K6">
        <v>110127</v>
      </c>
      <c r="L6">
        <f t="shared" ca="1" si="2"/>
        <v>110123</v>
      </c>
      <c r="M6">
        <f t="shared" ca="1" si="3"/>
        <v>0</v>
      </c>
      <c r="N6">
        <f t="shared" ca="1" si="4"/>
        <v>27289.485393605333</v>
      </c>
      <c r="O6">
        <f t="shared" ca="1" si="5"/>
        <v>18195.109105273194</v>
      </c>
      <c r="P6">
        <f t="shared" ca="1" si="6"/>
        <v>25.426114435676471</v>
      </c>
      <c r="Q6">
        <f t="shared" ca="1" si="7"/>
        <v>0</v>
      </c>
      <c r="R6">
        <f t="shared" ca="1" si="8"/>
        <v>0</v>
      </c>
      <c r="S6">
        <f t="shared" ca="1" si="9"/>
        <v>3.6323020622394955</v>
      </c>
      <c r="T6">
        <f t="shared" ca="1" si="10"/>
        <v>3.6323020622394955</v>
      </c>
      <c r="U6">
        <f t="shared" ca="1" si="11"/>
        <v>3.6323020622394955</v>
      </c>
      <c r="W6" t="s">
        <v>5</v>
      </c>
      <c r="X6">
        <f t="shared" ca="1" si="12"/>
        <v>0</v>
      </c>
      <c r="Y6">
        <f t="shared" ca="1" si="13"/>
        <v>24997.502123195278</v>
      </c>
      <c r="Z6">
        <f t="shared" ca="1" si="14"/>
        <v>25016.236199230651</v>
      </c>
      <c r="AA6">
        <f t="shared" ca="1" si="15"/>
        <v>22.480891242443924</v>
      </c>
      <c r="AB6">
        <f t="shared" ca="1" si="16"/>
        <v>0.49957536094319827</v>
      </c>
      <c r="AC6">
        <f t="shared" ca="1" si="17"/>
        <v>2.4978768047159914</v>
      </c>
      <c r="AD6">
        <f t="shared" ca="1" si="18"/>
        <v>3.7468152070739871</v>
      </c>
      <c r="AE6">
        <f t="shared" ca="1" si="19"/>
        <v>3.7468152070739871</v>
      </c>
      <c r="AF6">
        <f t="shared" ca="1" si="20"/>
        <v>3.7468152070739871</v>
      </c>
      <c r="AH6" t="s">
        <v>5</v>
      </c>
      <c r="AI6">
        <f t="shared" ca="1" si="21"/>
        <v>0</v>
      </c>
      <c r="AJ6">
        <f t="shared" ca="1" si="1"/>
        <v>101</v>
      </c>
      <c r="AK6">
        <f t="shared" ca="1" si="1"/>
        <v>101</v>
      </c>
      <c r="AL6">
        <f t="shared" ca="1" si="1"/>
        <v>22.480891242443924</v>
      </c>
      <c r="AM6">
        <f t="shared" ca="1" si="1"/>
        <v>0.49957536094319827</v>
      </c>
      <c r="AN6">
        <f t="shared" ca="1" si="1"/>
        <v>2.4978768047159914</v>
      </c>
      <c r="AO6">
        <f t="shared" ca="1" si="1"/>
        <v>3.7468152070739871</v>
      </c>
      <c r="AP6">
        <f t="shared" ca="1" si="1"/>
        <v>3.7468152070739871</v>
      </c>
      <c r="AQ6">
        <f t="shared" ca="1" si="1"/>
        <v>3.7468152070739871</v>
      </c>
    </row>
    <row r="7" spans="1:43" x14ac:dyDescent="0.3">
      <c r="A7" t="s">
        <v>43</v>
      </c>
      <c r="B7">
        <v>6</v>
      </c>
      <c r="C7">
        <v>110123</v>
      </c>
      <c r="D7">
        <v>140175</v>
      </c>
      <c r="E7">
        <v>130160</v>
      </c>
      <c r="F7">
        <v>110151</v>
      </c>
      <c r="G7">
        <v>110123</v>
      </c>
      <c r="H7">
        <v>110123</v>
      </c>
      <c r="I7">
        <v>110127</v>
      </c>
      <c r="J7">
        <v>110127</v>
      </c>
      <c r="K7">
        <v>110127</v>
      </c>
      <c r="L7">
        <f t="shared" ca="1" si="2"/>
        <v>110123</v>
      </c>
      <c r="M7">
        <f t="shared" ca="1" si="3"/>
        <v>0</v>
      </c>
      <c r="N7">
        <f t="shared" ca="1" si="4"/>
        <v>27289.485393605333</v>
      </c>
      <c r="O7">
        <f t="shared" ca="1" si="5"/>
        <v>18195.109105273194</v>
      </c>
      <c r="P7">
        <f t="shared" ca="1" si="6"/>
        <v>25.426114435676471</v>
      </c>
      <c r="Q7">
        <f t="shared" ca="1" si="7"/>
        <v>0</v>
      </c>
      <c r="R7">
        <f t="shared" ca="1" si="8"/>
        <v>0</v>
      </c>
      <c r="S7">
        <f t="shared" ca="1" si="9"/>
        <v>3.6323020622394955</v>
      </c>
      <c r="T7">
        <f t="shared" ca="1" si="10"/>
        <v>3.6323020622394955</v>
      </c>
      <c r="U7">
        <f t="shared" ca="1" si="11"/>
        <v>3.6323020622394955</v>
      </c>
      <c r="W7" t="s">
        <v>6</v>
      </c>
      <c r="X7">
        <f t="shared" ca="1" si="12"/>
        <v>0.33313067883704084</v>
      </c>
      <c r="Y7">
        <f t="shared" ca="1" si="13"/>
        <v>8321.6043573492789</v>
      </c>
      <c r="Z7">
        <f t="shared" ca="1" si="14"/>
        <v>8361.580038809725</v>
      </c>
      <c r="AA7">
        <f t="shared" ca="1" si="15"/>
        <v>16666.527862217154</v>
      </c>
      <c r="AB7">
        <f t="shared" ca="1" si="16"/>
        <v>0.83282669709260193</v>
      </c>
      <c r="AC7">
        <f t="shared" ca="1" si="17"/>
        <v>0.33313067883704084</v>
      </c>
      <c r="AD7">
        <f t="shared" ca="1" si="18"/>
        <v>1.6656533941852039</v>
      </c>
      <c r="AE7">
        <f t="shared" ca="1" si="19"/>
        <v>1.6656533941852039</v>
      </c>
      <c r="AF7">
        <f t="shared" ca="1" si="20"/>
        <v>1.6656533941852039</v>
      </c>
      <c r="AH7" t="s">
        <v>6</v>
      </c>
      <c r="AI7">
        <f t="shared" ca="1" si="21"/>
        <v>0.33313067883704084</v>
      </c>
      <c r="AJ7">
        <f t="shared" ca="1" si="1"/>
        <v>101</v>
      </c>
      <c r="AK7">
        <f t="shared" ca="1" si="1"/>
        <v>101</v>
      </c>
      <c r="AL7">
        <f t="shared" ca="1" si="1"/>
        <v>101</v>
      </c>
      <c r="AM7">
        <f t="shared" ca="1" si="1"/>
        <v>0.83282669709260193</v>
      </c>
      <c r="AN7">
        <f t="shared" ca="1" si="1"/>
        <v>0.33313067883704084</v>
      </c>
      <c r="AO7">
        <f t="shared" ca="1" si="1"/>
        <v>1.6656533941852039</v>
      </c>
      <c r="AP7">
        <f t="shared" ca="1" si="1"/>
        <v>1.6656533941852039</v>
      </c>
      <c r="AQ7">
        <f t="shared" ca="1" si="1"/>
        <v>1.6656533941852039</v>
      </c>
    </row>
    <row r="8" spans="1:43" x14ac:dyDescent="0.3">
      <c r="A8" t="s">
        <v>43</v>
      </c>
      <c r="B8">
        <v>7</v>
      </c>
      <c r="C8">
        <v>110123</v>
      </c>
      <c r="D8">
        <v>140175</v>
      </c>
      <c r="E8">
        <v>130160</v>
      </c>
      <c r="F8">
        <v>110151</v>
      </c>
      <c r="G8">
        <v>110123</v>
      </c>
      <c r="H8">
        <v>110123</v>
      </c>
      <c r="I8">
        <v>110127</v>
      </c>
      <c r="J8">
        <v>110127</v>
      </c>
      <c r="K8">
        <v>110127</v>
      </c>
      <c r="L8">
        <f t="shared" ca="1" si="2"/>
        <v>110123</v>
      </c>
      <c r="M8">
        <f t="shared" ca="1" si="3"/>
        <v>0</v>
      </c>
      <c r="N8">
        <f t="shared" ca="1" si="4"/>
        <v>27289.485393605333</v>
      </c>
      <c r="O8">
        <f t="shared" ca="1" si="5"/>
        <v>18195.109105273194</v>
      </c>
      <c r="P8">
        <f t="shared" ca="1" si="6"/>
        <v>25.426114435676471</v>
      </c>
      <c r="Q8">
        <f t="shared" ca="1" si="7"/>
        <v>0</v>
      </c>
      <c r="R8">
        <f t="shared" ca="1" si="8"/>
        <v>0</v>
      </c>
      <c r="S8">
        <f t="shared" ca="1" si="9"/>
        <v>3.6323020622394955</v>
      </c>
      <c r="T8">
        <f t="shared" ca="1" si="10"/>
        <v>3.6323020622394955</v>
      </c>
      <c r="U8">
        <f t="shared" ca="1" si="11"/>
        <v>3.6323020622394955</v>
      </c>
      <c r="W8" t="s">
        <v>1</v>
      </c>
      <c r="X8">
        <f t="shared" ca="1" si="12"/>
        <v>0</v>
      </c>
      <c r="Y8">
        <f t="shared" ca="1" si="13"/>
        <v>16663.751676119566</v>
      </c>
      <c r="Z8">
        <f t="shared" ca="1" si="14"/>
        <v>13.325671072466665</v>
      </c>
      <c r="AA8">
        <f t="shared" ca="1" si="15"/>
        <v>16.657088840583331</v>
      </c>
      <c r="AB8">
        <f t="shared" ca="1" si="16"/>
        <v>0</v>
      </c>
      <c r="AC8">
        <f t="shared" ca="1" si="17"/>
        <v>0</v>
      </c>
      <c r="AD8">
        <f t="shared" ca="1" si="18"/>
        <v>1.6657088840583332</v>
      </c>
      <c r="AE8">
        <f t="shared" ca="1" si="19"/>
        <v>1.7489943282612497</v>
      </c>
      <c r="AF8">
        <f t="shared" ca="1" si="20"/>
        <v>1.8322797724641664</v>
      </c>
      <c r="AH8" t="s">
        <v>1</v>
      </c>
      <c r="AI8">
        <f t="shared" ca="1" si="21"/>
        <v>0</v>
      </c>
      <c r="AJ8">
        <f t="shared" ca="1" si="1"/>
        <v>101</v>
      </c>
      <c r="AK8">
        <f t="shared" ca="1" si="1"/>
        <v>13.325671072466665</v>
      </c>
      <c r="AL8">
        <f t="shared" ca="1" si="1"/>
        <v>16.657088840583331</v>
      </c>
      <c r="AM8">
        <f t="shared" ca="1" si="1"/>
        <v>0</v>
      </c>
      <c r="AN8">
        <f t="shared" ca="1" si="1"/>
        <v>0</v>
      </c>
      <c r="AO8">
        <f t="shared" ca="1" si="1"/>
        <v>1.6657088840583332</v>
      </c>
      <c r="AP8">
        <f t="shared" ca="1" si="1"/>
        <v>1.7489943282612497</v>
      </c>
      <c r="AQ8">
        <f t="shared" ca="1" si="1"/>
        <v>1.8322797724641664</v>
      </c>
    </row>
    <row r="9" spans="1:43" x14ac:dyDescent="0.3">
      <c r="A9" t="s">
        <v>43</v>
      </c>
      <c r="B9">
        <v>8</v>
      </c>
      <c r="C9">
        <v>110123</v>
      </c>
      <c r="D9">
        <v>140175</v>
      </c>
      <c r="E9">
        <v>130160</v>
      </c>
      <c r="F9">
        <v>110151</v>
      </c>
      <c r="G9">
        <v>110123</v>
      </c>
      <c r="H9">
        <v>110123</v>
      </c>
      <c r="I9">
        <v>110127</v>
      </c>
      <c r="J9">
        <v>110127</v>
      </c>
      <c r="K9">
        <v>110127</v>
      </c>
      <c r="L9">
        <f t="shared" ca="1" si="2"/>
        <v>110123</v>
      </c>
      <c r="M9">
        <f t="shared" ca="1" si="3"/>
        <v>0</v>
      </c>
      <c r="N9">
        <f t="shared" ca="1" si="4"/>
        <v>27289.485393605333</v>
      </c>
      <c r="O9">
        <f t="shared" ca="1" si="5"/>
        <v>18195.109105273194</v>
      </c>
      <c r="P9">
        <f t="shared" ca="1" si="6"/>
        <v>25.426114435676471</v>
      </c>
      <c r="Q9">
        <f t="shared" ca="1" si="7"/>
        <v>0</v>
      </c>
      <c r="R9">
        <f t="shared" ca="1" si="8"/>
        <v>0</v>
      </c>
      <c r="S9">
        <f t="shared" ca="1" si="9"/>
        <v>3.6323020622394955</v>
      </c>
      <c r="T9">
        <f t="shared" ca="1" si="10"/>
        <v>3.6323020622394955</v>
      </c>
      <c r="U9">
        <f t="shared" ca="1" si="11"/>
        <v>3.6323020622394955</v>
      </c>
      <c r="W9" t="s">
        <v>7</v>
      </c>
      <c r="X9">
        <f t="shared" ca="1" si="12"/>
        <v>0</v>
      </c>
      <c r="Y9">
        <f t="shared" ca="1" si="13"/>
        <v>6685.1439764414299</v>
      </c>
      <c r="Z9">
        <f t="shared" ca="1" si="14"/>
        <v>6683.1452289898316</v>
      </c>
      <c r="AA9">
        <f t="shared" ca="1" si="15"/>
        <v>9.3274881074526643</v>
      </c>
      <c r="AB9">
        <f t="shared" ca="1" si="16"/>
        <v>0</v>
      </c>
      <c r="AC9">
        <f t="shared" ca="1" si="17"/>
        <v>0.79949898063879954</v>
      </c>
      <c r="AD9">
        <f t="shared" ca="1" si="18"/>
        <v>3.3312457526616654</v>
      </c>
      <c r="AE9">
        <f t="shared" ca="1" si="19"/>
        <v>3.3312457526616654</v>
      </c>
      <c r="AF9">
        <f t="shared" ca="1" si="20"/>
        <v>3.3312457526616654</v>
      </c>
      <c r="AH9" t="s">
        <v>7</v>
      </c>
      <c r="AI9">
        <f t="shared" ca="1" si="21"/>
        <v>0</v>
      </c>
      <c r="AJ9">
        <f t="shared" ca="1" si="1"/>
        <v>101</v>
      </c>
      <c r="AK9">
        <f t="shared" ca="1" si="1"/>
        <v>101</v>
      </c>
      <c r="AL9">
        <f t="shared" ca="1" si="1"/>
        <v>9.3274881074526643</v>
      </c>
      <c r="AM9">
        <f t="shared" ca="1" si="1"/>
        <v>0</v>
      </c>
      <c r="AN9">
        <f t="shared" ca="1" si="1"/>
        <v>0.79949898063879954</v>
      </c>
      <c r="AO9">
        <f t="shared" ca="1" si="1"/>
        <v>3.3312457526616654</v>
      </c>
      <c r="AP9">
        <f t="shared" ca="1" si="1"/>
        <v>3.3312457526616654</v>
      </c>
      <c r="AQ9">
        <f t="shared" ca="1" si="1"/>
        <v>3.3312457526616654</v>
      </c>
    </row>
    <row r="10" spans="1:43" x14ac:dyDescent="0.3">
      <c r="A10" t="s">
        <v>43</v>
      </c>
      <c r="B10">
        <v>9</v>
      </c>
      <c r="C10">
        <v>110123</v>
      </c>
      <c r="D10">
        <v>140175</v>
      </c>
      <c r="E10">
        <v>130160</v>
      </c>
      <c r="F10">
        <v>110151</v>
      </c>
      <c r="G10">
        <v>110123</v>
      </c>
      <c r="H10">
        <v>110123</v>
      </c>
      <c r="I10">
        <v>110127</v>
      </c>
      <c r="J10">
        <v>110127</v>
      </c>
      <c r="K10">
        <v>110127</v>
      </c>
      <c r="L10">
        <f t="shared" ca="1" si="2"/>
        <v>110123</v>
      </c>
      <c r="M10">
        <f t="shared" ca="1" si="3"/>
        <v>0</v>
      </c>
      <c r="N10">
        <f t="shared" ca="1" si="4"/>
        <v>27289.485393605333</v>
      </c>
      <c r="O10">
        <f t="shared" ca="1" si="5"/>
        <v>18195.109105273194</v>
      </c>
      <c r="P10">
        <f t="shared" ca="1" si="6"/>
        <v>25.426114435676471</v>
      </c>
      <c r="Q10">
        <f t="shared" ca="1" si="7"/>
        <v>0</v>
      </c>
      <c r="R10">
        <f t="shared" ca="1" si="8"/>
        <v>0</v>
      </c>
      <c r="S10">
        <f t="shared" ca="1" si="9"/>
        <v>3.6323020622394955</v>
      </c>
      <c r="T10">
        <f t="shared" ca="1" si="10"/>
        <v>3.6323020622394955</v>
      </c>
      <c r="U10">
        <f t="shared" ca="1" si="11"/>
        <v>3.6323020622394955</v>
      </c>
      <c r="W10" t="s">
        <v>8</v>
      </c>
      <c r="X10">
        <f t="shared" ca="1" si="12"/>
        <v>0.19988140370047108</v>
      </c>
      <c r="Y10">
        <f t="shared" ca="1" si="13"/>
        <v>15.324240950369447</v>
      </c>
      <c r="Z10">
        <f t="shared" ca="1" si="14"/>
        <v>22.653225752720058</v>
      </c>
      <c r="AA10">
        <f t="shared" ca="1" si="15"/>
        <v>6678.7039689784051</v>
      </c>
      <c r="AB10">
        <f t="shared" ca="1" si="16"/>
        <v>1.8655597678710634</v>
      </c>
      <c r="AC10">
        <f t="shared" ca="1" si="17"/>
        <v>2.2653225752720045</v>
      </c>
      <c r="AD10">
        <f t="shared" ca="1" si="18"/>
        <v>2.1320683061383576</v>
      </c>
      <c r="AE10">
        <f t="shared" ca="1" si="19"/>
        <v>2.3985768444056523</v>
      </c>
      <c r="AF10">
        <f t="shared" ca="1" si="20"/>
        <v>2.4652039789724762</v>
      </c>
      <c r="AH10" t="s">
        <v>8</v>
      </c>
      <c r="AI10">
        <f t="shared" ca="1" si="21"/>
        <v>0.19988140370047108</v>
      </c>
      <c r="AJ10">
        <f t="shared" ca="1" si="1"/>
        <v>15.324240950369447</v>
      </c>
      <c r="AK10">
        <f t="shared" ca="1" si="1"/>
        <v>22.653225752720058</v>
      </c>
      <c r="AL10">
        <f t="shared" ca="1" si="1"/>
        <v>101</v>
      </c>
      <c r="AM10">
        <f t="shared" ca="1" si="1"/>
        <v>1.8655597678710634</v>
      </c>
      <c r="AN10">
        <f t="shared" ca="1" si="1"/>
        <v>2.2653225752720045</v>
      </c>
      <c r="AO10">
        <f t="shared" ca="1" si="1"/>
        <v>2.1320683061383576</v>
      </c>
      <c r="AP10">
        <f t="shared" ca="1" si="1"/>
        <v>2.3985768444056523</v>
      </c>
      <c r="AQ10">
        <f t="shared" ca="1" si="1"/>
        <v>2.4652039789724762</v>
      </c>
    </row>
    <row r="11" spans="1:43" x14ac:dyDescent="0.3">
      <c r="A11" t="s">
        <v>43</v>
      </c>
      <c r="B11">
        <v>10</v>
      </c>
      <c r="C11">
        <v>110123</v>
      </c>
      <c r="D11">
        <v>140175</v>
      </c>
      <c r="E11">
        <v>130160</v>
      </c>
      <c r="F11">
        <v>110151</v>
      </c>
      <c r="G11">
        <v>110123</v>
      </c>
      <c r="H11">
        <v>110123</v>
      </c>
      <c r="I11">
        <v>110127</v>
      </c>
      <c r="J11">
        <v>110127</v>
      </c>
      <c r="K11">
        <v>110127</v>
      </c>
      <c r="L11">
        <f t="shared" ca="1" si="2"/>
        <v>110123</v>
      </c>
      <c r="M11">
        <f t="shared" ca="1" si="3"/>
        <v>0</v>
      </c>
      <c r="N11">
        <f t="shared" ca="1" si="4"/>
        <v>27289.485393605333</v>
      </c>
      <c r="O11">
        <f t="shared" ca="1" si="5"/>
        <v>18195.109105273194</v>
      </c>
      <c r="P11">
        <f t="shared" ca="1" si="6"/>
        <v>25.426114435676471</v>
      </c>
      <c r="Q11">
        <f t="shared" ca="1" si="7"/>
        <v>0</v>
      </c>
      <c r="R11">
        <f t="shared" ca="1" si="8"/>
        <v>0</v>
      </c>
      <c r="S11">
        <f t="shared" ca="1" si="9"/>
        <v>3.6323020622394955</v>
      </c>
      <c r="T11">
        <f t="shared" ca="1" si="10"/>
        <v>3.6323020622394955</v>
      </c>
      <c r="U11">
        <f t="shared" ca="1" si="11"/>
        <v>3.6323020622394955</v>
      </c>
      <c r="W11" t="s">
        <v>9</v>
      </c>
      <c r="X11">
        <f t="shared" ca="1" si="12"/>
        <v>4.993907432931822</v>
      </c>
      <c r="Y11">
        <f t="shared" ca="1" si="13"/>
        <v>9990.8112103234034</v>
      </c>
      <c r="Z11">
        <f t="shared" ca="1" si="14"/>
        <v>9989.8124288368217</v>
      </c>
      <c r="AA11">
        <f t="shared" ca="1" si="15"/>
        <v>9989.8124288368217</v>
      </c>
      <c r="AB11">
        <f t="shared" ca="1" si="16"/>
        <v>4.4945166896386404</v>
      </c>
      <c r="AC11">
        <f t="shared" ca="1" si="17"/>
        <v>4.993907432931822</v>
      </c>
      <c r="AD11">
        <f t="shared" ca="1" si="18"/>
        <v>4.5943948382972764</v>
      </c>
      <c r="AE11">
        <f t="shared" ca="1" si="19"/>
        <v>4.5943948382972772</v>
      </c>
      <c r="AF11">
        <f t="shared" ca="1" si="20"/>
        <v>4.993907432931822</v>
      </c>
      <c r="AH11" t="s">
        <v>9</v>
      </c>
      <c r="AI11">
        <f t="shared" ca="1" si="21"/>
        <v>4.993907432931822</v>
      </c>
      <c r="AJ11">
        <f t="shared" ca="1" si="1"/>
        <v>101</v>
      </c>
      <c r="AK11">
        <f t="shared" ca="1" si="1"/>
        <v>101</v>
      </c>
      <c r="AL11">
        <f t="shared" ca="1" si="1"/>
        <v>101</v>
      </c>
      <c r="AM11">
        <f t="shared" ca="1" si="1"/>
        <v>4.4945166896386404</v>
      </c>
      <c r="AN11">
        <f t="shared" ca="1" si="1"/>
        <v>4.993907432931822</v>
      </c>
      <c r="AO11">
        <f t="shared" ca="1" si="1"/>
        <v>4.5943948382972764</v>
      </c>
      <c r="AP11">
        <f t="shared" ca="1" si="1"/>
        <v>4.5943948382972772</v>
      </c>
      <c r="AQ11">
        <f t="shared" ca="1" si="1"/>
        <v>4.993907432931822</v>
      </c>
    </row>
    <row r="12" spans="1:43" x14ac:dyDescent="0.3">
      <c r="A12" t="s">
        <v>2</v>
      </c>
      <c r="B12">
        <v>1</v>
      </c>
      <c r="C12">
        <v>100038</v>
      </c>
      <c r="D12">
        <v>120037</v>
      </c>
      <c r="E12">
        <v>120057</v>
      </c>
      <c r="F12">
        <v>100058</v>
      </c>
      <c r="G12">
        <v>100041</v>
      </c>
      <c r="H12">
        <v>100038</v>
      </c>
      <c r="I12">
        <v>100038</v>
      </c>
      <c r="J12">
        <v>100038</v>
      </c>
      <c r="K12">
        <v>100040</v>
      </c>
      <c r="L12">
        <f t="shared" ca="1" si="2"/>
        <v>100034</v>
      </c>
      <c r="M12">
        <f t="shared" ca="1" si="3"/>
        <v>3.9986404622428373</v>
      </c>
      <c r="N12">
        <f t="shared" ca="1" si="4"/>
        <v>19996.201291560868</v>
      </c>
      <c r="O12">
        <f t="shared" ca="1" si="5"/>
        <v>20016.194493872081</v>
      </c>
      <c r="P12">
        <f t="shared" ca="1" si="6"/>
        <v>23.991842773457023</v>
      </c>
      <c r="Q12">
        <f t="shared" ca="1" si="7"/>
        <v>6.9976208089249656</v>
      </c>
      <c r="R12">
        <f t="shared" ca="1" si="8"/>
        <v>3.9986404622428373</v>
      </c>
      <c r="S12">
        <f t="shared" ca="1" si="9"/>
        <v>3.9986404622428373</v>
      </c>
      <c r="T12">
        <f t="shared" ca="1" si="10"/>
        <v>3.9986404622428373</v>
      </c>
      <c r="U12">
        <f t="shared" ca="1" si="11"/>
        <v>5.9979606933642557</v>
      </c>
      <c r="W12" t="s">
        <v>10</v>
      </c>
      <c r="X12">
        <f t="shared" ca="1" si="12"/>
        <v>8.8665228852144722</v>
      </c>
      <c r="Y12">
        <f t="shared" ca="1" si="13"/>
        <v>8060.547967090024</v>
      </c>
      <c r="Z12">
        <f t="shared" ca="1" si="14"/>
        <v>8028.5965332694304</v>
      </c>
      <c r="AA12">
        <f t="shared" ca="1" si="15"/>
        <v>44.332614426072375</v>
      </c>
      <c r="AB12">
        <f t="shared" ca="1" si="16"/>
        <v>22.206246505311931</v>
      </c>
      <c r="AC12">
        <f t="shared" ca="1" si="17"/>
        <v>17.693106478153208</v>
      </c>
      <c r="AD12">
        <f t="shared" ca="1" si="18"/>
        <v>11.702212636792074</v>
      </c>
      <c r="AE12">
        <f t="shared" ca="1" si="19"/>
        <v>9.2259765156961429</v>
      </c>
      <c r="AF12">
        <f t="shared" ca="1" si="20"/>
        <v>8.0277977474239144</v>
      </c>
      <c r="AH12" t="s">
        <v>10</v>
      </c>
      <c r="AI12">
        <f t="shared" ca="1" si="21"/>
        <v>8.8665228852144722</v>
      </c>
      <c r="AJ12">
        <f t="shared" ca="1" si="1"/>
        <v>101</v>
      </c>
      <c r="AK12">
        <f t="shared" ca="1" si="1"/>
        <v>101</v>
      </c>
      <c r="AL12">
        <f t="shared" ca="1" si="1"/>
        <v>44.332614426072375</v>
      </c>
      <c r="AM12">
        <f t="shared" ca="1" si="1"/>
        <v>22.206246505311931</v>
      </c>
      <c r="AN12">
        <f t="shared" ca="1" si="1"/>
        <v>17.693106478153208</v>
      </c>
      <c r="AO12">
        <f t="shared" ca="1" si="1"/>
        <v>11.702212636792074</v>
      </c>
      <c r="AP12">
        <f t="shared" ca="1" si="1"/>
        <v>9.2259765156961429</v>
      </c>
      <c r="AQ12">
        <f t="shared" ca="1" si="1"/>
        <v>8.0277977474239144</v>
      </c>
    </row>
    <row r="13" spans="1:43" x14ac:dyDescent="0.3">
      <c r="A13" t="s">
        <v>2</v>
      </c>
      <c r="B13">
        <v>2</v>
      </c>
      <c r="C13">
        <v>100035</v>
      </c>
      <c r="D13">
        <v>120037</v>
      </c>
      <c r="E13">
        <v>120057</v>
      </c>
      <c r="F13">
        <v>100058</v>
      </c>
      <c r="G13">
        <v>100038</v>
      </c>
      <c r="H13">
        <v>100043</v>
      </c>
      <c r="I13">
        <v>100042</v>
      </c>
      <c r="J13">
        <v>100042</v>
      </c>
      <c r="K13">
        <v>100038</v>
      </c>
      <c r="L13">
        <f t="shared" ca="1" si="2"/>
        <v>100034</v>
      </c>
      <c r="M13">
        <f t="shared" ca="1" si="3"/>
        <v>0.99966011556070933</v>
      </c>
      <c r="N13">
        <f t="shared" ca="1" si="4"/>
        <v>19996.201291560868</v>
      </c>
      <c r="O13">
        <f t="shared" ca="1" si="5"/>
        <v>20016.194493872081</v>
      </c>
      <c r="P13">
        <f t="shared" ca="1" si="6"/>
        <v>23.991842773457023</v>
      </c>
      <c r="Q13">
        <f t="shared" ca="1" si="7"/>
        <v>3.9986404622428373</v>
      </c>
      <c r="R13">
        <f t="shared" ca="1" si="8"/>
        <v>8.9969410400463836</v>
      </c>
      <c r="S13">
        <f t="shared" ca="1" si="9"/>
        <v>7.9972809244856746</v>
      </c>
      <c r="T13">
        <f t="shared" ca="1" si="10"/>
        <v>7.9972809244856746</v>
      </c>
      <c r="U13">
        <f t="shared" ca="1" si="11"/>
        <v>3.9986404622428373</v>
      </c>
      <c r="W13" t="s">
        <v>11</v>
      </c>
      <c r="X13">
        <f t="shared" ca="1" si="12"/>
        <v>8.0413774070602351</v>
      </c>
      <c r="Y13">
        <f t="shared" ca="1" si="13"/>
        <v>9516.4229669351898</v>
      </c>
      <c r="Z13">
        <f t="shared" ca="1" si="14"/>
        <v>9543.544772390951</v>
      </c>
      <c r="AA13">
        <f t="shared" ca="1" si="15"/>
        <v>19.032845933870373</v>
      </c>
      <c r="AB13">
        <f t="shared" ca="1" si="16"/>
        <v>6.8042424213586603</v>
      </c>
      <c r="AC13">
        <f t="shared" ca="1" si="17"/>
        <v>2.9976732345845845</v>
      </c>
      <c r="AD13">
        <f t="shared" ca="1" si="18"/>
        <v>11.84794659383431</v>
      </c>
      <c r="AE13">
        <f t="shared" ca="1" si="19"/>
        <v>10.277736804290004</v>
      </c>
      <c r="AF13">
        <f t="shared" ca="1" si="20"/>
        <v>11.419707560322227</v>
      </c>
      <c r="AH13" t="s">
        <v>11</v>
      </c>
      <c r="AI13">
        <f t="shared" ca="1" si="21"/>
        <v>8.0413774070602351</v>
      </c>
      <c r="AJ13">
        <f t="shared" ca="1" si="1"/>
        <v>101</v>
      </c>
      <c r="AK13">
        <f t="shared" ca="1" si="1"/>
        <v>101</v>
      </c>
      <c r="AL13">
        <f t="shared" ca="1" si="1"/>
        <v>19.032845933870373</v>
      </c>
      <c r="AM13">
        <f t="shared" ca="1" si="1"/>
        <v>6.8042424213586603</v>
      </c>
      <c r="AN13">
        <f t="shared" ca="1" si="1"/>
        <v>2.9976732345845845</v>
      </c>
      <c r="AO13">
        <f t="shared" ca="1" si="1"/>
        <v>11.84794659383431</v>
      </c>
      <c r="AP13">
        <f t="shared" ca="1" si="1"/>
        <v>10.277736804290004</v>
      </c>
      <c r="AQ13">
        <f t="shared" ca="1" si="1"/>
        <v>11.419707560322227</v>
      </c>
    </row>
    <row r="14" spans="1:43" x14ac:dyDescent="0.3">
      <c r="A14" t="s">
        <v>44</v>
      </c>
      <c r="B14">
        <v>3</v>
      </c>
      <c r="C14">
        <v>100039</v>
      </c>
      <c r="D14">
        <v>120037</v>
      </c>
      <c r="E14">
        <v>120057</v>
      </c>
      <c r="F14">
        <v>100058</v>
      </c>
      <c r="G14">
        <v>100036</v>
      </c>
      <c r="H14">
        <v>100041</v>
      </c>
      <c r="I14">
        <v>100038</v>
      </c>
      <c r="J14">
        <v>100042</v>
      </c>
      <c r="K14">
        <v>100042</v>
      </c>
      <c r="L14">
        <f t="shared" ca="1" si="2"/>
        <v>100034</v>
      </c>
      <c r="M14">
        <f t="shared" ca="1" si="3"/>
        <v>4.9983005778035468</v>
      </c>
      <c r="N14">
        <f t="shared" ca="1" si="4"/>
        <v>19996.201291560868</v>
      </c>
      <c r="O14">
        <f t="shared" ca="1" si="5"/>
        <v>20016.194493872081</v>
      </c>
      <c r="P14">
        <f t="shared" ca="1" si="6"/>
        <v>23.991842773457023</v>
      </c>
      <c r="Q14">
        <f t="shared" ca="1" si="7"/>
        <v>1.9993202311214187</v>
      </c>
      <c r="R14">
        <f t="shared" ca="1" si="8"/>
        <v>6.9976208089249656</v>
      </c>
      <c r="S14">
        <f t="shared" ca="1" si="9"/>
        <v>3.9986404622428373</v>
      </c>
      <c r="T14">
        <f t="shared" ca="1" si="10"/>
        <v>7.9972809244856746</v>
      </c>
      <c r="U14">
        <f t="shared" ca="1" si="11"/>
        <v>7.9972809244856746</v>
      </c>
      <c r="W14" t="s">
        <v>12</v>
      </c>
      <c r="X14">
        <f t="shared" ca="1" si="12"/>
        <v>7.4168810113582868</v>
      </c>
      <c r="Y14">
        <f t="shared" ca="1" si="13"/>
        <v>19082.779048262022</v>
      </c>
      <c r="Z14">
        <f t="shared" ca="1" si="14"/>
        <v>19113.682719142689</v>
      </c>
      <c r="AA14">
        <f t="shared" ca="1" si="15"/>
        <v>95.088218094337009</v>
      </c>
      <c r="AB14">
        <f t="shared" ca="1" si="16"/>
        <v>12.931997660829836</v>
      </c>
      <c r="AC14">
        <f t="shared" ca="1" si="17"/>
        <v>11.315497953226107</v>
      </c>
      <c r="AD14">
        <f t="shared" ca="1" si="18"/>
        <v>24.913113140716298</v>
      </c>
      <c r="AE14">
        <f t="shared" ca="1" si="19"/>
        <v>9.9367187908582189</v>
      </c>
      <c r="AF14">
        <f t="shared" ca="1" si="20"/>
        <v>7.2267045751696131</v>
      </c>
      <c r="AH14" t="s">
        <v>12</v>
      </c>
      <c r="AI14">
        <f t="shared" ca="1" si="21"/>
        <v>7.4168810113582868</v>
      </c>
      <c r="AJ14">
        <f t="shared" ca="1" si="1"/>
        <v>101</v>
      </c>
      <c r="AK14">
        <f t="shared" ca="1" si="1"/>
        <v>101</v>
      </c>
      <c r="AL14">
        <f t="shared" ca="1" si="1"/>
        <v>95.088218094337009</v>
      </c>
      <c r="AM14">
        <f t="shared" ca="1" si="1"/>
        <v>12.931997660829836</v>
      </c>
      <c r="AN14">
        <f t="shared" ca="1" si="1"/>
        <v>11.315497953226107</v>
      </c>
      <c r="AO14">
        <f t="shared" ca="1" si="1"/>
        <v>24.913113140716298</v>
      </c>
      <c r="AP14">
        <f t="shared" ca="1" si="1"/>
        <v>9.9367187908582189</v>
      </c>
      <c r="AQ14">
        <f t="shared" ca="1" si="1"/>
        <v>7.2267045751696131</v>
      </c>
    </row>
    <row r="15" spans="1:43" x14ac:dyDescent="0.3">
      <c r="A15" t="s">
        <v>44</v>
      </c>
      <c r="B15">
        <v>4</v>
      </c>
      <c r="C15">
        <v>100035</v>
      </c>
      <c r="D15">
        <v>120037</v>
      </c>
      <c r="E15">
        <v>120057</v>
      </c>
      <c r="F15">
        <v>100058</v>
      </c>
      <c r="G15">
        <v>100035</v>
      </c>
      <c r="H15">
        <v>100036</v>
      </c>
      <c r="I15">
        <v>100034</v>
      </c>
      <c r="J15">
        <v>100038</v>
      </c>
      <c r="K15">
        <v>100038</v>
      </c>
      <c r="L15">
        <f t="shared" ca="1" si="2"/>
        <v>100034</v>
      </c>
      <c r="M15">
        <f t="shared" ca="1" si="3"/>
        <v>0.99966011556070933</v>
      </c>
      <c r="N15">
        <f t="shared" ca="1" si="4"/>
        <v>19996.201291560868</v>
      </c>
      <c r="O15">
        <f t="shared" ca="1" si="5"/>
        <v>20016.194493872081</v>
      </c>
      <c r="P15">
        <f t="shared" ca="1" si="6"/>
        <v>23.991842773457023</v>
      </c>
      <c r="Q15">
        <f t="shared" ca="1" si="7"/>
        <v>0.99966011556070933</v>
      </c>
      <c r="R15">
        <f t="shared" ca="1" si="8"/>
        <v>1.9993202311214187</v>
      </c>
      <c r="S15">
        <f t="shared" ca="1" si="9"/>
        <v>0</v>
      </c>
      <c r="T15">
        <f t="shared" ca="1" si="10"/>
        <v>3.9986404622428373</v>
      </c>
      <c r="U15">
        <f t="shared" ca="1" si="11"/>
        <v>3.9986404622428373</v>
      </c>
      <c r="W15" t="s">
        <v>13</v>
      </c>
      <c r="X15">
        <f t="shared" ca="1" si="12"/>
        <v>8.7888975882343914</v>
      </c>
      <c r="Y15">
        <f t="shared" ca="1" si="13"/>
        <v>15375.197654247077</v>
      </c>
      <c r="Z15">
        <f t="shared" ca="1" si="14"/>
        <v>15398.225333517554</v>
      </c>
      <c r="AA15">
        <f t="shared" ca="1" si="15"/>
        <v>3843.7034648981416</v>
      </c>
      <c r="AB15">
        <f t="shared" ca="1" si="16"/>
        <v>1544.044274551344</v>
      </c>
      <c r="AC15">
        <f t="shared" ca="1" si="17"/>
        <v>3071.3551021661369</v>
      </c>
      <c r="AD15">
        <f t="shared" ca="1" si="18"/>
        <v>28.976496415357921</v>
      </c>
      <c r="AE15">
        <f t="shared" ca="1" si="19"/>
        <v>13.778228096839069</v>
      </c>
      <c r="AF15">
        <f t="shared" ca="1" si="20"/>
        <v>9.9786610172093528</v>
      </c>
      <c r="AH15" t="s">
        <v>13</v>
      </c>
      <c r="AI15">
        <f t="shared" ca="1" si="21"/>
        <v>8.7888975882343914</v>
      </c>
      <c r="AJ15">
        <f t="shared" ca="1" si="1"/>
        <v>101</v>
      </c>
      <c r="AK15">
        <f t="shared" ca="1" si="1"/>
        <v>101</v>
      </c>
      <c r="AL15">
        <f t="shared" ca="1" si="1"/>
        <v>101</v>
      </c>
      <c r="AM15">
        <f t="shared" ca="1" si="1"/>
        <v>101</v>
      </c>
      <c r="AN15">
        <f t="shared" ca="1" si="1"/>
        <v>101</v>
      </c>
      <c r="AO15">
        <f t="shared" ca="1" si="1"/>
        <v>28.976496415357921</v>
      </c>
      <c r="AP15">
        <f t="shared" ca="1" si="1"/>
        <v>13.778228096839069</v>
      </c>
      <c r="AQ15">
        <f t="shared" ca="1" si="1"/>
        <v>9.9786610172093528</v>
      </c>
    </row>
    <row r="16" spans="1:43" x14ac:dyDescent="0.3">
      <c r="A16" t="s">
        <v>44</v>
      </c>
      <c r="B16">
        <v>5</v>
      </c>
      <c r="C16">
        <v>100035</v>
      </c>
      <c r="D16">
        <v>120037</v>
      </c>
      <c r="E16">
        <v>120057</v>
      </c>
      <c r="F16">
        <v>100058</v>
      </c>
      <c r="G16">
        <v>100040</v>
      </c>
      <c r="H16">
        <v>100035</v>
      </c>
      <c r="I16">
        <v>100041</v>
      </c>
      <c r="J16">
        <v>100042</v>
      </c>
      <c r="K16">
        <v>100038</v>
      </c>
      <c r="L16">
        <f t="shared" ca="1" si="2"/>
        <v>100034</v>
      </c>
      <c r="M16">
        <f t="shared" ca="1" si="3"/>
        <v>0.99966011556070933</v>
      </c>
      <c r="N16">
        <f t="shared" ca="1" si="4"/>
        <v>19996.201291560868</v>
      </c>
      <c r="O16">
        <f t="shared" ca="1" si="5"/>
        <v>20016.194493872081</v>
      </c>
      <c r="P16">
        <f t="shared" ca="1" si="6"/>
        <v>23.991842773457023</v>
      </c>
      <c r="Q16">
        <f t="shared" ca="1" si="7"/>
        <v>5.9979606933642557</v>
      </c>
      <c r="R16">
        <f t="shared" ca="1" si="8"/>
        <v>0.99966011556070933</v>
      </c>
      <c r="S16">
        <f t="shared" ca="1" si="9"/>
        <v>6.9976208089249656</v>
      </c>
      <c r="T16">
        <f t="shared" ca="1" si="10"/>
        <v>7.9972809244856746</v>
      </c>
      <c r="U16">
        <f t="shared" ca="1" si="11"/>
        <v>3.9986404622428373</v>
      </c>
      <c r="W16" t="s">
        <v>14</v>
      </c>
      <c r="X16">
        <f t="shared" ca="1" si="12"/>
        <v>10.405389781697025</v>
      </c>
      <c r="Y16">
        <f t="shared" ca="1" si="13"/>
        <v>10554.113282112188</v>
      </c>
      <c r="Z16">
        <f t="shared" ca="1" si="14"/>
        <v>10584.068192089804</v>
      </c>
      <c r="AA16">
        <f t="shared" ca="1" si="15"/>
        <v>57.282196272978567</v>
      </c>
      <c r="AB16">
        <f t="shared" ca="1" si="16"/>
        <v>20.075044932364968</v>
      </c>
      <c r="AC16">
        <f t="shared" ca="1" si="17"/>
        <v>12.034516464689991</v>
      </c>
      <c r="AD16">
        <f t="shared" ca="1" si="18"/>
        <v>26.223684348822303</v>
      </c>
      <c r="AE16">
        <f t="shared" ca="1" si="19"/>
        <v>17.657631144697984</v>
      </c>
      <c r="AF16">
        <f t="shared" ca="1" si="20"/>
        <v>13.453433253103224</v>
      </c>
      <c r="AH16" t="s">
        <v>14</v>
      </c>
      <c r="AI16">
        <f t="shared" ca="1" si="21"/>
        <v>10.405389781697025</v>
      </c>
      <c r="AJ16">
        <f t="shared" ca="1" si="1"/>
        <v>101</v>
      </c>
      <c r="AK16">
        <f t="shared" ca="1" si="1"/>
        <v>101</v>
      </c>
      <c r="AL16">
        <f t="shared" ca="1" si="1"/>
        <v>57.282196272978567</v>
      </c>
      <c r="AM16">
        <f t="shared" ca="1" si="1"/>
        <v>20.075044932364968</v>
      </c>
      <c r="AN16">
        <f t="shared" ca="1" si="1"/>
        <v>12.034516464689991</v>
      </c>
      <c r="AO16">
        <f t="shared" ca="1" si="1"/>
        <v>26.223684348822303</v>
      </c>
      <c r="AP16">
        <f t="shared" ca="1" si="1"/>
        <v>17.657631144697984</v>
      </c>
      <c r="AQ16">
        <f t="shared" ca="1" si="1"/>
        <v>13.453433253103224</v>
      </c>
    </row>
    <row r="17" spans="1:43" x14ac:dyDescent="0.3">
      <c r="A17" t="s">
        <v>44</v>
      </c>
      <c r="B17">
        <v>6</v>
      </c>
      <c r="C17">
        <v>100039</v>
      </c>
      <c r="D17">
        <v>120037</v>
      </c>
      <c r="E17">
        <v>120057</v>
      </c>
      <c r="F17">
        <v>100058</v>
      </c>
      <c r="G17">
        <v>100040</v>
      </c>
      <c r="H17">
        <v>100040</v>
      </c>
      <c r="I17">
        <v>100038</v>
      </c>
      <c r="J17">
        <v>100038</v>
      </c>
      <c r="K17">
        <v>100041</v>
      </c>
      <c r="L17">
        <f t="shared" ca="1" si="2"/>
        <v>100034</v>
      </c>
      <c r="M17">
        <f t="shared" ca="1" si="3"/>
        <v>4.9983005778035468</v>
      </c>
      <c r="N17">
        <f t="shared" ca="1" si="4"/>
        <v>19996.201291560868</v>
      </c>
      <c r="O17">
        <f t="shared" ca="1" si="5"/>
        <v>20016.194493872081</v>
      </c>
      <c r="P17">
        <f t="shared" ca="1" si="6"/>
        <v>23.991842773457023</v>
      </c>
      <c r="Q17">
        <f t="shared" ca="1" si="7"/>
        <v>5.9979606933642557</v>
      </c>
      <c r="R17">
        <f t="shared" ca="1" si="8"/>
        <v>5.9979606933642557</v>
      </c>
      <c r="S17">
        <f t="shared" ca="1" si="9"/>
        <v>3.9986404622428373</v>
      </c>
      <c r="T17">
        <f t="shared" ca="1" si="10"/>
        <v>3.9986404622428373</v>
      </c>
      <c r="U17">
        <f t="shared" ca="1" si="11"/>
        <v>6.9976208089249656</v>
      </c>
      <c r="W17" t="s">
        <v>15</v>
      </c>
      <c r="X17">
        <f t="shared" ca="1" si="12"/>
        <v>4.1532551136953595</v>
      </c>
      <c r="Y17">
        <f t="shared" ca="1" si="13"/>
        <v>11975.352028306033</v>
      </c>
      <c r="Z17">
        <f t="shared" ca="1" si="14"/>
        <v>16004.009488590531</v>
      </c>
      <c r="AA17">
        <f t="shared" ca="1" si="15"/>
        <v>4032.251623363657</v>
      </c>
      <c r="AB17">
        <f t="shared" ca="1" si="16"/>
        <v>8.9854076978986122</v>
      </c>
      <c r="AC17">
        <f t="shared" ca="1" si="17"/>
        <v>12.060413887846137</v>
      </c>
      <c r="AD17">
        <f t="shared" ca="1" si="18"/>
        <v>14.536392897933757</v>
      </c>
      <c r="AE17">
        <f t="shared" ca="1" si="19"/>
        <v>10.423072929562391</v>
      </c>
      <c r="AF17">
        <f t="shared" ca="1" si="20"/>
        <v>8.8256671166026361</v>
      </c>
      <c r="AH17" t="s">
        <v>15</v>
      </c>
      <c r="AI17">
        <f t="shared" ca="1" si="21"/>
        <v>4.1532551136953595</v>
      </c>
      <c r="AJ17">
        <f t="shared" ca="1" si="1"/>
        <v>101</v>
      </c>
      <c r="AK17">
        <f t="shared" ca="1" si="1"/>
        <v>101</v>
      </c>
      <c r="AL17">
        <f t="shared" ca="1" si="1"/>
        <v>101</v>
      </c>
      <c r="AM17">
        <f t="shared" ca="1" si="1"/>
        <v>8.9854076978986122</v>
      </c>
      <c r="AN17">
        <f t="shared" ca="1" si="1"/>
        <v>12.060413887846137</v>
      </c>
      <c r="AO17">
        <f t="shared" ca="1" si="1"/>
        <v>14.536392897933757</v>
      </c>
      <c r="AP17">
        <f t="shared" ca="1" si="1"/>
        <v>10.423072929562391</v>
      </c>
      <c r="AQ17">
        <f t="shared" ca="1" si="1"/>
        <v>8.8256671166026361</v>
      </c>
    </row>
    <row r="18" spans="1:43" x14ac:dyDescent="0.3">
      <c r="A18" t="s">
        <v>44</v>
      </c>
      <c r="B18">
        <v>7</v>
      </c>
      <c r="C18">
        <v>100035</v>
      </c>
      <c r="D18">
        <v>120037</v>
      </c>
      <c r="E18">
        <v>120057</v>
      </c>
      <c r="F18">
        <v>100058</v>
      </c>
      <c r="G18">
        <v>100041</v>
      </c>
      <c r="H18">
        <v>100041</v>
      </c>
      <c r="I18">
        <v>100038</v>
      </c>
      <c r="J18">
        <v>100042</v>
      </c>
      <c r="K18">
        <v>100038</v>
      </c>
      <c r="L18">
        <f t="shared" ca="1" si="2"/>
        <v>100034</v>
      </c>
      <c r="M18">
        <f t="shared" ca="1" si="3"/>
        <v>0.99966011556070933</v>
      </c>
      <c r="N18">
        <f t="shared" ca="1" si="4"/>
        <v>19996.201291560868</v>
      </c>
      <c r="O18">
        <f t="shared" ca="1" si="5"/>
        <v>20016.194493872081</v>
      </c>
      <c r="P18">
        <f t="shared" ca="1" si="6"/>
        <v>23.991842773457023</v>
      </c>
      <c r="Q18">
        <f t="shared" ca="1" si="7"/>
        <v>6.9976208089249656</v>
      </c>
      <c r="R18">
        <f t="shared" ca="1" si="8"/>
        <v>6.9976208089249656</v>
      </c>
      <c r="S18">
        <f t="shared" ca="1" si="9"/>
        <v>3.9986404622428373</v>
      </c>
      <c r="T18">
        <f t="shared" ca="1" si="10"/>
        <v>7.9972809244856746</v>
      </c>
      <c r="U18">
        <f t="shared" ca="1" si="11"/>
        <v>3.9986404622428373</v>
      </c>
      <c r="W18" t="s">
        <v>26</v>
      </c>
      <c r="X18">
        <f t="shared" ca="1" si="12"/>
        <v>5.9528517490144495</v>
      </c>
      <c r="Y18">
        <f t="shared" ca="1" si="13"/>
        <v>4189.0592412819851</v>
      </c>
      <c r="Z18">
        <f t="shared" ca="1" si="14"/>
        <v>4211.1222582538585</v>
      </c>
      <c r="AA18">
        <f t="shared" ca="1" si="15"/>
        <v>39.54691721373235</v>
      </c>
      <c r="AB18">
        <f t="shared" ca="1" si="16"/>
        <v>12.030588499756472</v>
      </c>
      <c r="AC18">
        <f t="shared" ca="1" si="17"/>
        <v>13.279438517032233</v>
      </c>
      <c r="AD18">
        <f t="shared" ca="1" si="18"/>
        <v>15.15271354294587</v>
      </c>
      <c r="AE18">
        <f t="shared" ca="1" si="19"/>
        <v>13.321066850941426</v>
      </c>
      <c r="AF18">
        <f t="shared" ca="1" si="20"/>
        <v>11.780818496301325</v>
      </c>
      <c r="AH18" t="s">
        <v>26</v>
      </c>
      <c r="AI18">
        <f t="shared" ca="1" si="21"/>
        <v>5.9528517490144495</v>
      </c>
      <c r="AJ18">
        <f t="shared" ref="AJ18:AJ31" ca="1" si="22">MIN(101,Y18)</f>
        <v>101</v>
      </c>
      <c r="AK18">
        <f t="shared" ref="AK18:AK31" ca="1" si="23">MIN(101,Z18)</f>
        <v>101</v>
      </c>
      <c r="AL18">
        <f t="shared" ref="AL18:AL31" ca="1" si="24">MIN(101,AA18)</f>
        <v>39.54691721373235</v>
      </c>
      <c r="AM18">
        <f t="shared" ref="AM18:AM31" ca="1" si="25">MIN(101,AB18)</f>
        <v>12.030588499756472</v>
      </c>
      <c r="AN18">
        <f t="shared" ref="AN18:AN31" ca="1" si="26">MIN(101,AC18)</f>
        <v>13.279438517032233</v>
      </c>
      <c r="AO18">
        <f t="shared" ref="AO18:AO31" ca="1" si="27">MIN(101,AD18)</f>
        <v>15.15271354294587</v>
      </c>
      <c r="AP18">
        <f t="shared" ref="AP18:AP31" ca="1" si="28">MIN(101,AE18)</f>
        <v>13.321066850941426</v>
      </c>
      <c r="AQ18">
        <f t="shared" ref="AQ18:AQ31" ca="1" si="29">MIN(101,AF18)</f>
        <v>11.780818496301325</v>
      </c>
    </row>
    <row r="19" spans="1:43" x14ac:dyDescent="0.3">
      <c r="A19" t="s">
        <v>44</v>
      </c>
      <c r="B19">
        <v>8</v>
      </c>
      <c r="C19">
        <v>100040</v>
      </c>
      <c r="D19">
        <v>120037</v>
      </c>
      <c r="E19">
        <v>120057</v>
      </c>
      <c r="F19">
        <v>100058</v>
      </c>
      <c r="G19">
        <v>100041</v>
      </c>
      <c r="H19">
        <v>100035</v>
      </c>
      <c r="I19">
        <v>100042</v>
      </c>
      <c r="J19">
        <v>100039</v>
      </c>
      <c r="K19">
        <v>100042</v>
      </c>
      <c r="L19">
        <f t="shared" ca="1" si="2"/>
        <v>100034</v>
      </c>
      <c r="M19">
        <f t="shared" ca="1" si="3"/>
        <v>5.9979606933642557</v>
      </c>
      <c r="N19">
        <f t="shared" ca="1" si="4"/>
        <v>19996.201291560868</v>
      </c>
      <c r="O19">
        <f t="shared" ca="1" si="5"/>
        <v>20016.194493872081</v>
      </c>
      <c r="P19">
        <f t="shared" ca="1" si="6"/>
        <v>23.991842773457023</v>
      </c>
      <c r="Q19">
        <f t="shared" ca="1" si="7"/>
        <v>6.9976208089249656</v>
      </c>
      <c r="R19">
        <f t="shared" ca="1" si="8"/>
        <v>0.99966011556070933</v>
      </c>
      <c r="S19">
        <f t="shared" ca="1" si="9"/>
        <v>7.9972809244856746</v>
      </c>
      <c r="T19">
        <f t="shared" ca="1" si="10"/>
        <v>4.9983005778035468</v>
      </c>
      <c r="U19">
        <f t="shared" ca="1" si="11"/>
        <v>7.9972809244856746</v>
      </c>
      <c r="W19" t="s">
        <v>27</v>
      </c>
      <c r="X19">
        <f t="shared" ca="1" si="12"/>
        <v>6.1657635125746841</v>
      </c>
      <c r="Y19">
        <f t="shared" ca="1" si="13"/>
        <v>8731.5027094622765</v>
      </c>
      <c r="Z19">
        <f t="shared" ca="1" si="14"/>
        <v>8739.7526747255779</v>
      </c>
      <c r="AA19">
        <f t="shared" ca="1" si="15"/>
        <v>4380.2973461164374</v>
      </c>
      <c r="AB19">
        <f t="shared" ca="1" si="16"/>
        <v>9.5525913575100745</v>
      </c>
      <c r="AC19">
        <f t="shared" ca="1" si="17"/>
        <v>9.3789078782826181</v>
      </c>
      <c r="AD19">
        <f t="shared" ca="1" si="18"/>
        <v>16.022300958732806</v>
      </c>
      <c r="AE19">
        <f t="shared" ca="1" si="19"/>
        <v>12.722314853411143</v>
      </c>
      <c r="AF19">
        <f t="shared" ca="1" si="20"/>
        <v>10.985480061136585</v>
      </c>
      <c r="AH19" t="s">
        <v>27</v>
      </c>
      <c r="AI19">
        <f t="shared" ca="1" si="21"/>
        <v>6.1657635125746841</v>
      </c>
      <c r="AJ19">
        <f t="shared" ca="1" si="22"/>
        <v>101</v>
      </c>
      <c r="AK19">
        <f t="shared" ca="1" si="23"/>
        <v>101</v>
      </c>
      <c r="AL19">
        <f t="shared" ca="1" si="24"/>
        <v>101</v>
      </c>
      <c r="AM19">
        <f t="shared" ca="1" si="25"/>
        <v>9.5525913575100745</v>
      </c>
      <c r="AN19">
        <f t="shared" ca="1" si="26"/>
        <v>9.3789078782826181</v>
      </c>
      <c r="AO19">
        <f t="shared" ca="1" si="27"/>
        <v>16.022300958732806</v>
      </c>
      <c r="AP19">
        <f t="shared" ca="1" si="28"/>
        <v>12.722314853411143</v>
      </c>
      <c r="AQ19">
        <f t="shared" ca="1" si="29"/>
        <v>10.985480061136585</v>
      </c>
    </row>
    <row r="20" spans="1:43" x14ac:dyDescent="0.3">
      <c r="A20" t="s">
        <v>44</v>
      </c>
      <c r="B20">
        <v>9</v>
      </c>
      <c r="C20">
        <v>100038</v>
      </c>
      <c r="D20">
        <v>120037</v>
      </c>
      <c r="E20">
        <v>120057</v>
      </c>
      <c r="F20">
        <v>100058</v>
      </c>
      <c r="G20">
        <v>100041</v>
      </c>
      <c r="H20">
        <v>100041</v>
      </c>
      <c r="I20">
        <v>100040</v>
      </c>
      <c r="J20">
        <v>100038</v>
      </c>
      <c r="K20">
        <v>100040</v>
      </c>
      <c r="L20">
        <f t="shared" ca="1" si="2"/>
        <v>100034</v>
      </c>
      <c r="M20">
        <f t="shared" ca="1" si="3"/>
        <v>3.9986404622428373</v>
      </c>
      <c r="N20">
        <f t="shared" ca="1" si="4"/>
        <v>19996.201291560868</v>
      </c>
      <c r="O20">
        <f t="shared" ca="1" si="5"/>
        <v>20016.194493872081</v>
      </c>
      <c r="P20">
        <f t="shared" ca="1" si="6"/>
        <v>23.991842773457023</v>
      </c>
      <c r="Q20">
        <f t="shared" ca="1" si="7"/>
        <v>6.9976208089249656</v>
      </c>
      <c r="R20">
        <f t="shared" ca="1" si="8"/>
        <v>6.9976208089249656</v>
      </c>
      <c r="S20">
        <f t="shared" ca="1" si="9"/>
        <v>5.9979606933642557</v>
      </c>
      <c r="T20">
        <f t="shared" ca="1" si="10"/>
        <v>3.9986404622428373</v>
      </c>
      <c r="U20">
        <f t="shared" ca="1" si="11"/>
        <v>5.9979606933642557</v>
      </c>
      <c r="W20" t="s">
        <v>28</v>
      </c>
      <c r="X20">
        <f t="shared" ca="1" si="12"/>
        <v>9.5221452287632964</v>
      </c>
      <c r="Y20">
        <f t="shared" ca="1" si="13"/>
        <v>3580.968548389973</v>
      </c>
      <c r="Z20">
        <f t="shared" ca="1" si="14"/>
        <v>3608.4294166526988</v>
      </c>
      <c r="AA20">
        <f t="shared" ca="1" si="15"/>
        <v>26.034329651674938</v>
      </c>
      <c r="AB20">
        <f t="shared" ca="1" si="16"/>
        <v>13.552116804981472</v>
      </c>
      <c r="AC20">
        <f t="shared" ca="1" si="17"/>
        <v>16.940146006226843</v>
      </c>
      <c r="AD20">
        <f t="shared" ca="1" si="18"/>
        <v>20.399502138024744</v>
      </c>
      <c r="AE20">
        <f t="shared" ca="1" si="19"/>
        <v>20.542155999129811</v>
      </c>
      <c r="AF20">
        <f t="shared" ca="1" si="20"/>
        <v>14.836001554927089</v>
      </c>
      <c r="AH20" t="s">
        <v>28</v>
      </c>
      <c r="AI20">
        <f t="shared" ca="1" si="21"/>
        <v>9.5221452287632964</v>
      </c>
      <c r="AJ20">
        <f t="shared" ca="1" si="22"/>
        <v>101</v>
      </c>
      <c r="AK20">
        <f t="shared" ca="1" si="23"/>
        <v>101</v>
      </c>
      <c r="AL20">
        <f t="shared" ca="1" si="24"/>
        <v>26.034329651674938</v>
      </c>
      <c r="AM20">
        <f t="shared" ca="1" si="25"/>
        <v>13.552116804981472</v>
      </c>
      <c r="AN20">
        <f t="shared" ca="1" si="26"/>
        <v>16.940146006226843</v>
      </c>
      <c r="AO20">
        <f t="shared" ca="1" si="27"/>
        <v>20.399502138024744</v>
      </c>
      <c r="AP20">
        <f t="shared" ca="1" si="28"/>
        <v>20.542155999129811</v>
      </c>
      <c r="AQ20">
        <f t="shared" ca="1" si="29"/>
        <v>14.836001554927089</v>
      </c>
    </row>
    <row r="21" spans="1:43" x14ac:dyDescent="0.3">
      <c r="A21" t="s">
        <v>44</v>
      </c>
      <c r="B21">
        <v>10</v>
      </c>
      <c r="C21">
        <v>100040</v>
      </c>
      <c r="D21">
        <v>120037</v>
      </c>
      <c r="E21">
        <v>120057</v>
      </c>
      <c r="F21">
        <v>100058</v>
      </c>
      <c r="G21">
        <v>100038</v>
      </c>
      <c r="H21">
        <v>100035</v>
      </c>
      <c r="I21">
        <v>100043</v>
      </c>
      <c r="J21">
        <v>100041</v>
      </c>
      <c r="K21">
        <v>100042</v>
      </c>
      <c r="L21">
        <f t="shared" ca="1" si="2"/>
        <v>100034</v>
      </c>
      <c r="M21">
        <f t="shared" ca="1" si="3"/>
        <v>5.9979606933642557</v>
      </c>
      <c r="N21">
        <f t="shared" ca="1" si="4"/>
        <v>19996.201291560868</v>
      </c>
      <c r="O21">
        <f t="shared" ca="1" si="5"/>
        <v>20016.194493872081</v>
      </c>
      <c r="P21">
        <f t="shared" ca="1" si="6"/>
        <v>23.991842773457023</v>
      </c>
      <c r="Q21">
        <f t="shared" ca="1" si="7"/>
        <v>3.9986404622428373</v>
      </c>
      <c r="R21">
        <f t="shared" ca="1" si="8"/>
        <v>0.99966011556070933</v>
      </c>
      <c r="S21">
        <f t="shared" ca="1" si="9"/>
        <v>8.9969410400463836</v>
      </c>
      <c r="T21">
        <f t="shared" ca="1" si="10"/>
        <v>6.9976208089249656</v>
      </c>
      <c r="U21">
        <f t="shared" ca="1" si="11"/>
        <v>7.9972809244856746</v>
      </c>
      <c r="W21" t="s">
        <v>29</v>
      </c>
      <c r="X21">
        <f t="shared" ca="1" si="12"/>
        <v>6.988267067397369</v>
      </c>
      <c r="Y21">
        <f t="shared" ca="1" si="13"/>
        <v>10581.18212054498</v>
      </c>
      <c r="Z21">
        <f t="shared" ca="1" si="14"/>
        <v>10578.554952474529</v>
      </c>
      <c r="AA21">
        <f t="shared" ca="1" si="15"/>
        <v>44.136423583562348</v>
      </c>
      <c r="AB21">
        <f t="shared" ca="1" si="16"/>
        <v>21.490234816282133</v>
      </c>
      <c r="AC21">
        <f t="shared" ca="1" si="17"/>
        <v>539.88303847750353</v>
      </c>
      <c r="AD21">
        <f t="shared" ca="1" si="18"/>
        <v>7.6713307657144059</v>
      </c>
      <c r="AE21">
        <f t="shared" ca="1" si="19"/>
        <v>8.7747413553034654</v>
      </c>
      <c r="AF21">
        <f t="shared" ca="1" si="20"/>
        <v>5.5170529479452908</v>
      </c>
      <c r="AH21" t="s">
        <v>29</v>
      </c>
      <c r="AI21">
        <f t="shared" ca="1" si="21"/>
        <v>6.988267067397369</v>
      </c>
      <c r="AJ21">
        <f t="shared" ca="1" si="22"/>
        <v>101</v>
      </c>
      <c r="AK21">
        <f t="shared" ca="1" si="23"/>
        <v>101</v>
      </c>
      <c r="AL21">
        <f t="shared" ca="1" si="24"/>
        <v>44.136423583562348</v>
      </c>
      <c r="AM21">
        <f t="shared" ca="1" si="25"/>
        <v>21.490234816282133</v>
      </c>
      <c r="AN21">
        <f t="shared" ca="1" si="26"/>
        <v>101</v>
      </c>
      <c r="AO21">
        <f t="shared" ca="1" si="27"/>
        <v>7.6713307657144059</v>
      </c>
      <c r="AP21">
        <f t="shared" ca="1" si="28"/>
        <v>8.7747413553034654</v>
      </c>
      <c r="AQ21">
        <f t="shared" ca="1" si="29"/>
        <v>5.5170529479452908</v>
      </c>
    </row>
    <row r="22" spans="1:43" x14ac:dyDescent="0.3">
      <c r="A22" t="s">
        <v>3</v>
      </c>
      <c r="B22">
        <v>1</v>
      </c>
      <c r="C22">
        <v>140088</v>
      </c>
      <c r="D22">
        <v>150111</v>
      </c>
      <c r="E22">
        <v>150102</v>
      </c>
      <c r="F22">
        <v>140091</v>
      </c>
      <c r="G22">
        <v>140082</v>
      </c>
      <c r="H22">
        <v>140088</v>
      </c>
      <c r="I22">
        <v>140082</v>
      </c>
      <c r="J22">
        <v>140091</v>
      </c>
      <c r="K22">
        <v>140088</v>
      </c>
      <c r="L22">
        <f t="shared" ca="1" si="2"/>
        <v>140082</v>
      </c>
      <c r="M22">
        <f t="shared" ca="1" si="3"/>
        <v>4.2832055510343947</v>
      </c>
      <c r="N22">
        <f t="shared" ca="1" si="4"/>
        <v>7159.3780785539893</v>
      </c>
      <c r="O22">
        <f t="shared" ca="1" si="5"/>
        <v>7152.9532702274391</v>
      </c>
      <c r="P22">
        <f t="shared" ca="1" si="6"/>
        <v>6.4248083265515907</v>
      </c>
      <c r="Q22">
        <f t="shared" ca="1" si="7"/>
        <v>0</v>
      </c>
      <c r="R22">
        <f t="shared" ca="1" si="8"/>
        <v>4.2832055510343947</v>
      </c>
      <c r="S22">
        <f t="shared" ca="1" si="9"/>
        <v>0</v>
      </c>
      <c r="T22">
        <f t="shared" ca="1" si="10"/>
        <v>6.4248083265515907</v>
      </c>
      <c r="U22">
        <f t="shared" ca="1" si="11"/>
        <v>4.2832055510343947</v>
      </c>
      <c r="W22" t="s">
        <v>16</v>
      </c>
      <c r="X22">
        <f t="shared" ca="1" si="12"/>
        <v>16.271235908598946</v>
      </c>
      <c r="Y22">
        <f t="shared" ca="1" si="13"/>
        <v>12283.445415962353</v>
      </c>
      <c r="Z22">
        <f t="shared" ca="1" si="14"/>
        <v>7474.0669577166791</v>
      </c>
      <c r="AA22">
        <f t="shared" ca="1" si="15"/>
        <v>106.28595055392734</v>
      </c>
      <c r="AB22">
        <f t="shared" ca="1" si="16"/>
        <v>1274.8963286351861</v>
      </c>
      <c r="AC22">
        <f t="shared" ca="1" si="17"/>
        <v>1744.1597451082926</v>
      </c>
      <c r="AD22">
        <f t="shared" ca="1" si="18"/>
        <v>141.74702970899054</v>
      </c>
      <c r="AE22">
        <f t="shared" ca="1" si="19"/>
        <v>31.253420242974055</v>
      </c>
      <c r="AF22">
        <f t="shared" ca="1" si="20"/>
        <v>26.510683318942977</v>
      </c>
      <c r="AH22" t="s">
        <v>16</v>
      </c>
      <c r="AI22">
        <f t="shared" ca="1" si="21"/>
        <v>16.271235908598946</v>
      </c>
      <c r="AJ22">
        <f t="shared" ca="1" si="22"/>
        <v>101</v>
      </c>
      <c r="AK22">
        <f t="shared" ca="1" si="23"/>
        <v>101</v>
      </c>
      <c r="AL22">
        <f t="shared" ca="1" si="24"/>
        <v>101</v>
      </c>
      <c r="AM22">
        <f t="shared" ca="1" si="25"/>
        <v>101</v>
      </c>
      <c r="AN22">
        <f t="shared" ca="1" si="26"/>
        <v>101</v>
      </c>
      <c r="AO22">
        <f t="shared" ca="1" si="27"/>
        <v>101</v>
      </c>
      <c r="AP22">
        <f t="shared" ca="1" si="28"/>
        <v>31.253420242974055</v>
      </c>
      <c r="AQ22">
        <f t="shared" ca="1" si="29"/>
        <v>26.510683318942977</v>
      </c>
    </row>
    <row r="23" spans="1:43" x14ac:dyDescent="0.3">
      <c r="A23" t="s">
        <v>3</v>
      </c>
      <c r="B23">
        <v>2</v>
      </c>
      <c r="C23">
        <v>140088</v>
      </c>
      <c r="D23">
        <v>150111</v>
      </c>
      <c r="E23">
        <v>150102</v>
      </c>
      <c r="F23">
        <v>140091</v>
      </c>
      <c r="G23">
        <v>140082</v>
      </c>
      <c r="H23">
        <v>140088</v>
      </c>
      <c r="I23">
        <v>140088</v>
      </c>
      <c r="J23">
        <v>140088</v>
      </c>
      <c r="K23">
        <v>140088</v>
      </c>
      <c r="L23">
        <f t="shared" ca="1" si="2"/>
        <v>140082</v>
      </c>
      <c r="M23">
        <f t="shared" ca="1" si="3"/>
        <v>4.2832055510343947</v>
      </c>
      <c r="N23">
        <f t="shared" ca="1" si="4"/>
        <v>7159.3780785539893</v>
      </c>
      <c r="O23">
        <f t="shared" ca="1" si="5"/>
        <v>7152.9532702274391</v>
      </c>
      <c r="P23">
        <f t="shared" ca="1" si="6"/>
        <v>6.4248083265515907</v>
      </c>
      <c r="Q23">
        <f t="shared" ca="1" si="7"/>
        <v>0</v>
      </c>
      <c r="R23">
        <f t="shared" ca="1" si="8"/>
        <v>4.2832055510343947</v>
      </c>
      <c r="S23">
        <f t="shared" ca="1" si="9"/>
        <v>4.2832055510343947</v>
      </c>
      <c r="T23">
        <f t="shared" ca="1" si="10"/>
        <v>4.2832055510343947</v>
      </c>
      <c r="U23">
        <f t="shared" ca="1" si="11"/>
        <v>4.2832055510343947</v>
      </c>
      <c r="W23" t="s">
        <v>22</v>
      </c>
      <c r="X23">
        <f t="shared" ca="1" si="12"/>
        <v>12.782998611846244</v>
      </c>
      <c r="Y23">
        <f t="shared" ca="1" si="13"/>
        <v>12514.355906644165</v>
      </c>
      <c r="Z23">
        <f t="shared" ca="1" si="14"/>
        <v>10027.413539991812</v>
      </c>
      <c r="AA23">
        <f t="shared" ca="1" si="15"/>
        <v>57.173958635015438</v>
      </c>
      <c r="AB23">
        <f t="shared" ca="1" si="16"/>
        <v>1023.4887599492674</v>
      </c>
      <c r="AC23">
        <f t="shared" ca="1" si="17"/>
        <v>265.79649066741234</v>
      </c>
      <c r="AD23">
        <f t="shared" ca="1" si="18"/>
        <v>101.96438736480481</v>
      </c>
      <c r="AE23">
        <f t="shared" ca="1" si="19"/>
        <v>60.145007140503125</v>
      </c>
      <c r="AF23">
        <f t="shared" ca="1" si="20"/>
        <v>63.840092676739935</v>
      </c>
      <c r="AH23" t="s">
        <v>22</v>
      </c>
      <c r="AI23">
        <f t="shared" ca="1" si="21"/>
        <v>12.782998611846244</v>
      </c>
      <c r="AJ23">
        <f t="shared" ca="1" si="22"/>
        <v>101</v>
      </c>
      <c r="AK23">
        <f t="shared" ca="1" si="23"/>
        <v>101</v>
      </c>
      <c r="AL23">
        <f t="shared" ca="1" si="24"/>
        <v>57.173958635015438</v>
      </c>
      <c r="AM23">
        <f t="shared" ca="1" si="25"/>
        <v>101</v>
      </c>
      <c r="AN23">
        <f t="shared" ca="1" si="26"/>
        <v>101</v>
      </c>
      <c r="AO23">
        <f t="shared" ca="1" si="27"/>
        <v>101</v>
      </c>
      <c r="AP23">
        <f t="shared" ca="1" si="28"/>
        <v>60.145007140503125</v>
      </c>
      <c r="AQ23">
        <f t="shared" ca="1" si="29"/>
        <v>63.840092676739935</v>
      </c>
    </row>
    <row r="24" spans="1:43" x14ac:dyDescent="0.3">
      <c r="A24" t="s">
        <v>58</v>
      </c>
      <c r="B24">
        <v>3</v>
      </c>
      <c r="C24">
        <v>140088</v>
      </c>
      <c r="D24">
        <v>150111</v>
      </c>
      <c r="E24">
        <v>150102</v>
      </c>
      <c r="F24">
        <v>140091</v>
      </c>
      <c r="G24">
        <v>140088</v>
      </c>
      <c r="H24">
        <v>140088</v>
      </c>
      <c r="I24">
        <v>140088</v>
      </c>
      <c r="J24">
        <v>140088</v>
      </c>
      <c r="K24">
        <v>140088</v>
      </c>
      <c r="L24">
        <f t="shared" ca="1" si="2"/>
        <v>140082</v>
      </c>
      <c r="M24">
        <f t="shared" ca="1" si="3"/>
        <v>4.2832055510343947</v>
      </c>
      <c r="N24">
        <f t="shared" ca="1" si="4"/>
        <v>7159.3780785539893</v>
      </c>
      <c r="O24">
        <f t="shared" ca="1" si="5"/>
        <v>7152.9532702274391</v>
      </c>
      <c r="P24">
        <f t="shared" ca="1" si="6"/>
        <v>6.4248083265515907</v>
      </c>
      <c r="Q24">
        <f t="shared" ca="1" si="7"/>
        <v>4.2832055510343947</v>
      </c>
      <c r="R24">
        <f t="shared" ca="1" si="8"/>
        <v>4.2832055510343947</v>
      </c>
      <c r="S24">
        <f t="shared" ca="1" si="9"/>
        <v>4.2832055510343947</v>
      </c>
      <c r="T24">
        <f t="shared" ca="1" si="10"/>
        <v>4.2832055510343947</v>
      </c>
      <c r="U24">
        <f t="shared" ca="1" si="11"/>
        <v>4.2832055510343947</v>
      </c>
      <c r="W24" t="s">
        <v>23</v>
      </c>
      <c r="X24">
        <f t="shared" ca="1" si="12"/>
        <v>21.799356233868476</v>
      </c>
      <c r="Y24">
        <f t="shared" ca="1" si="13"/>
        <v>20040.708740669877</v>
      </c>
      <c r="Z24">
        <f t="shared" ca="1" si="14"/>
        <v>15039.313581870909</v>
      </c>
      <c r="AA24">
        <f t="shared" ca="1" si="15"/>
        <v>2531.4658136267158</v>
      </c>
      <c r="AB24">
        <f t="shared" ca="1" si="16"/>
        <v>2280.6112788623477</v>
      </c>
      <c r="AC24">
        <f t="shared" ca="1" si="17"/>
        <v>3261.3331738866136</v>
      </c>
      <c r="AD24">
        <f t="shared" ca="1" si="18"/>
        <v>2560.7641484050346</v>
      </c>
      <c r="AE24">
        <f t="shared" ca="1" si="19"/>
        <v>22.098318833647244</v>
      </c>
      <c r="AF24">
        <f t="shared" ca="1" si="20"/>
        <v>24.963377081527103</v>
      </c>
      <c r="AH24" t="s">
        <v>23</v>
      </c>
      <c r="AI24">
        <f t="shared" ca="1" si="21"/>
        <v>21.799356233868476</v>
      </c>
      <c r="AJ24">
        <f t="shared" ca="1" si="22"/>
        <v>101</v>
      </c>
      <c r="AK24">
        <f t="shared" ca="1" si="23"/>
        <v>101</v>
      </c>
      <c r="AL24">
        <f t="shared" ca="1" si="24"/>
        <v>101</v>
      </c>
      <c r="AM24">
        <f t="shared" ca="1" si="25"/>
        <v>101</v>
      </c>
      <c r="AN24">
        <f t="shared" ca="1" si="26"/>
        <v>101</v>
      </c>
      <c r="AO24">
        <f t="shared" ca="1" si="27"/>
        <v>101</v>
      </c>
      <c r="AP24">
        <f t="shared" ca="1" si="28"/>
        <v>22.098318833647244</v>
      </c>
      <c r="AQ24">
        <f t="shared" ca="1" si="29"/>
        <v>24.963377081527103</v>
      </c>
    </row>
    <row r="25" spans="1:43" x14ac:dyDescent="0.3">
      <c r="A25" t="s">
        <v>58</v>
      </c>
      <c r="B25">
        <v>4</v>
      </c>
      <c r="C25">
        <v>140088</v>
      </c>
      <c r="D25">
        <v>150111</v>
      </c>
      <c r="E25">
        <v>150102</v>
      </c>
      <c r="F25">
        <v>140091</v>
      </c>
      <c r="G25">
        <v>140082</v>
      </c>
      <c r="H25">
        <v>140088</v>
      </c>
      <c r="I25">
        <v>140091</v>
      </c>
      <c r="J25">
        <v>140088</v>
      </c>
      <c r="K25">
        <v>140088</v>
      </c>
      <c r="L25">
        <f t="shared" ca="1" si="2"/>
        <v>140082</v>
      </c>
      <c r="M25">
        <f t="shared" ca="1" si="3"/>
        <v>4.2832055510343947</v>
      </c>
      <c r="N25">
        <f t="shared" ca="1" si="4"/>
        <v>7159.3780785539893</v>
      </c>
      <c r="O25">
        <f t="shared" ca="1" si="5"/>
        <v>7152.9532702274391</v>
      </c>
      <c r="P25">
        <f t="shared" ca="1" si="6"/>
        <v>6.4248083265515907</v>
      </c>
      <c r="Q25">
        <f t="shared" ca="1" si="7"/>
        <v>0</v>
      </c>
      <c r="R25">
        <f t="shared" ca="1" si="8"/>
        <v>4.2832055510343947</v>
      </c>
      <c r="S25">
        <f t="shared" ca="1" si="9"/>
        <v>6.4248083265515907</v>
      </c>
      <c r="T25">
        <f t="shared" ca="1" si="10"/>
        <v>4.2832055510343947</v>
      </c>
      <c r="U25">
        <f t="shared" ca="1" si="11"/>
        <v>4.2832055510343947</v>
      </c>
      <c r="W25" t="s">
        <v>24</v>
      </c>
      <c r="X25">
        <f t="shared" ca="1" si="12"/>
        <v>20.915187844975964</v>
      </c>
      <c r="Y25">
        <f t="shared" ca="1" si="13"/>
        <v>19112.113478544721</v>
      </c>
      <c r="Z25">
        <f t="shared" ca="1" si="14"/>
        <v>9579.6783191880841</v>
      </c>
      <c r="AA25">
        <f t="shared" ca="1" si="15"/>
        <v>2502.7004570004146</v>
      </c>
      <c r="AB25">
        <f t="shared" ca="1" si="16"/>
        <v>1953.5165291708709</v>
      </c>
      <c r="AC25">
        <f t="shared" ca="1" si="17"/>
        <v>1245.6288207015252</v>
      </c>
      <c r="AD25">
        <f t="shared" ca="1" si="18"/>
        <v>153.38595762359785</v>
      </c>
      <c r="AE25">
        <f t="shared" ca="1" si="19"/>
        <v>39.313905869784563</v>
      </c>
      <c r="AF25">
        <f t="shared" ca="1" si="20"/>
        <v>45.605080420202981</v>
      </c>
      <c r="AH25" t="s">
        <v>24</v>
      </c>
      <c r="AI25">
        <f t="shared" ca="1" si="21"/>
        <v>20.915187844975964</v>
      </c>
      <c r="AJ25">
        <f t="shared" ca="1" si="22"/>
        <v>101</v>
      </c>
      <c r="AK25">
        <f t="shared" ca="1" si="23"/>
        <v>101</v>
      </c>
      <c r="AL25">
        <f t="shared" ca="1" si="24"/>
        <v>101</v>
      </c>
      <c r="AM25">
        <f t="shared" ca="1" si="25"/>
        <v>101</v>
      </c>
      <c r="AN25">
        <f t="shared" ca="1" si="26"/>
        <v>101</v>
      </c>
      <c r="AO25">
        <f t="shared" ca="1" si="27"/>
        <v>101</v>
      </c>
      <c r="AP25">
        <f t="shared" ca="1" si="28"/>
        <v>39.313905869784563</v>
      </c>
      <c r="AQ25">
        <f t="shared" ca="1" si="29"/>
        <v>45.605080420202981</v>
      </c>
    </row>
    <row r="26" spans="1:43" x14ac:dyDescent="0.3">
      <c r="A26" t="s">
        <v>58</v>
      </c>
      <c r="B26">
        <v>5</v>
      </c>
      <c r="C26">
        <v>140088</v>
      </c>
      <c r="D26">
        <v>150111</v>
      </c>
      <c r="E26">
        <v>150102</v>
      </c>
      <c r="F26">
        <v>140091</v>
      </c>
      <c r="G26">
        <v>140082</v>
      </c>
      <c r="H26">
        <v>140082</v>
      </c>
      <c r="I26">
        <v>140091</v>
      </c>
      <c r="J26">
        <v>140088</v>
      </c>
      <c r="K26">
        <v>140088</v>
      </c>
      <c r="L26">
        <f t="shared" ca="1" si="2"/>
        <v>140082</v>
      </c>
      <c r="M26">
        <f t="shared" ca="1" si="3"/>
        <v>4.2832055510343947</v>
      </c>
      <c r="N26">
        <f t="shared" ca="1" si="4"/>
        <v>7159.3780785539893</v>
      </c>
      <c r="O26">
        <f t="shared" ca="1" si="5"/>
        <v>7152.9532702274391</v>
      </c>
      <c r="P26">
        <f t="shared" ca="1" si="6"/>
        <v>6.4248083265515907</v>
      </c>
      <c r="Q26">
        <f t="shared" ca="1" si="7"/>
        <v>0</v>
      </c>
      <c r="R26">
        <f t="shared" ca="1" si="8"/>
        <v>0</v>
      </c>
      <c r="S26">
        <f t="shared" ca="1" si="9"/>
        <v>6.4248083265515907</v>
      </c>
      <c r="T26">
        <f t="shared" ca="1" si="10"/>
        <v>4.2832055510343947</v>
      </c>
      <c r="U26">
        <f t="shared" ca="1" si="11"/>
        <v>4.2832055510343947</v>
      </c>
      <c r="W26" t="s">
        <v>25</v>
      </c>
      <c r="X26">
        <f t="shared" ca="1" si="12"/>
        <v>34.595371062544885</v>
      </c>
      <c r="Y26">
        <f t="shared" ca="1" si="13"/>
        <v>1761.6346393445024</v>
      </c>
      <c r="Z26">
        <f t="shared" ca="1" si="14"/>
        <v>1771.6605836741278</v>
      </c>
      <c r="AA26">
        <f t="shared" ca="1" si="15"/>
        <v>589.21478093897963</v>
      </c>
      <c r="AB26">
        <f t="shared" ca="1" si="16"/>
        <v>585.77605792767849</v>
      </c>
      <c r="AC26">
        <f t="shared" ca="1" si="17"/>
        <v>582.13212552951359</v>
      </c>
      <c r="AD26">
        <f t="shared" ca="1" si="18"/>
        <v>306.0023745657623</v>
      </c>
      <c r="AE26">
        <f t="shared" ca="1" si="19"/>
        <v>120.1383697579995</v>
      </c>
      <c r="AF26">
        <f t="shared" ca="1" si="20"/>
        <v>35.210999223135886</v>
      </c>
      <c r="AH26" t="s">
        <v>25</v>
      </c>
      <c r="AI26">
        <f t="shared" ca="1" si="21"/>
        <v>34.595371062544885</v>
      </c>
      <c r="AJ26">
        <f t="shared" ca="1" si="22"/>
        <v>101</v>
      </c>
      <c r="AK26">
        <f t="shared" ca="1" si="23"/>
        <v>101</v>
      </c>
      <c r="AL26">
        <f t="shared" ca="1" si="24"/>
        <v>101</v>
      </c>
      <c r="AM26">
        <f t="shared" ca="1" si="25"/>
        <v>101</v>
      </c>
      <c r="AN26">
        <f t="shared" ca="1" si="26"/>
        <v>101</v>
      </c>
      <c r="AO26">
        <f t="shared" ca="1" si="27"/>
        <v>101</v>
      </c>
      <c r="AP26">
        <f t="shared" ca="1" si="28"/>
        <v>101</v>
      </c>
      <c r="AQ26">
        <f t="shared" ca="1" si="29"/>
        <v>35.210999223135886</v>
      </c>
    </row>
    <row r="27" spans="1:43" x14ac:dyDescent="0.3">
      <c r="A27" t="s">
        <v>58</v>
      </c>
      <c r="B27">
        <v>6</v>
      </c>
      <c r="C27">
        <v>140088</v>
      </c>
      <c r="D27">
        <v>150111</v>
      </c>
      <c r="E27">
        <v>150102</v>
      </c>
      <c r="F27">
        <v>140091</v>
      </c>
      <c r="G27">
        <v>140088</v>
      </c>
      <c r="H27">
        <v>140088</v>
      </c>
      <c r="I27">
        <v>140088</v>
      </c>
      <c r="J27">
        <v>140088</v>
      </c>
      <c r="K27">
        <v>140088</v>
      </c>
      <c r="L27">
        <f t="shared" ca="1" si="2"/>
        <v>140082</v>
      </c>
      <c r="M27">
        <f t="shared" ca="1" si="3"/>
        <v>4.2832055510343947</v>
      </c>
      <c r="N27">
        <f t="shared" ca="1" si="4"/>
        <v>7159.3780785539893</v>
      </c>
      <c r="O27">
        <f t="shared" ca="1" si="5"/>
        <v>7152.9532702274391</v>
      </c>
      <c r="P27">
        <f t="shared" ca="1" si="6"/>
        <v>6.4248083265515907</v>
      </c>
      <c r="Q27">
        <f t="shared" ca="1" si="7"/>
        <v>4.2832055510343947</v>
      </c>
      <c r="R27">
        <f t="shared" ca="1" si="8"/>
        <v>4.2832055510343947</v>
      </c>
      <c r="S27">
        <f t="shared" ca="1" si="9"/>
        <v>4.2832055510343947</v>
      </c>
      <c r="T27">
        <f t="shared" ca="1" si="10"/>
        <v>4.2832055510343947</v>
      </c>
      <c r="U27">
        <f t="shared" ca="1" si="11"/>
        <v>4.2832055510343947</v>
      </c>
      <c r="W27" t="s">
        <v>17</v>
      </c>
      <c r="X27">
        <f t="shared" ca="1" si="12"/>
        <v>13.931537481119966</v>
      </c>
      <c r="Y27">
        <f t="shared" ca="1" si="13"/>
        <v>10397.446829741781</v>
      </c>
      <c r="Z27">
        <f t="shared" ca="1" si="14"/>
        <v>12477.101296769188</v>
      </c>
      <c r="AA27">
        <f t="shared" ca="1" si="15"/>
        <v>2150.4415546715891</v>
      </c>
      <c r="AB27">
        <f t="shared" ca="1" si="16"/>
        <v>45.019526377618831</v>
      </c>
      <c r="AC27">
        <f t="shared" ca="1" si="17"/>
        <v>33.401218300819608</v>
      </c>
      <c r="AD27">
        <f t="shared" ca="1" si="18"/>
        <v>103.48072989191323</v>
      </c>
      <c r="AE27">
        <f t="shared" ca="1" si="19"/>
        <v>31.915762163731291</v>
      </c>
      <c r="AF27">
        <f t="shared" ca="1" si="20"/>
        <v>37.023009828957093</v>
      </c>
      <c r="AH27" t="s">
        <v>17</v>
      </c>
      <c r="AI27">
        <f t="shared" ca="1" si="21"/>
        <v>13.931537481119966</v>
      </c>
      <c r="AJ27">
        <f t="shared" ca="1" si="22"/>
        <v>101</v>
      </c>
      <c r="AK27">
        <f t="shared" ca="1" si="23"/>
        <v>101</v>
      </c>
      <c r="AL27">
        <f t="shared" ca="1" si="24"/>
        <v>101</v>
      </c>
      <c r="AM27">
        <f t="shared" ca="1" si="25"/>
        <v>45.019526377618831</v>
      </c>
      <c r="AN27">
        <f t="shared" ca="1" si="26"/>
        <v>33.401218300819608</v>
      </c>
      <c r="AO27">
        <f t="shared" ca="1" si="27"/>
        <v>101</v>
      </c>
      <c r="AP27">
        <f t="shared" ca="1" si="28"/>
        <v>31.915762163731291</v>
      </c>
      <c r="AQ27">
        <f t="shared" ca="1" si="29"/>
        <v>37.023009828957093</v>
      </c>
    </row>
    <row r="28" spans="1:43" x14ac:dyDescent="0.3">
      <c r="A28" t="s">
        <v>58</v>
      </c>
      <c r="B28">
        <v>7</v>
      </c>
      <c r="C28">
        <v>140088</v>
      </c>
      <c r="D28">
        <v>150111</v>
      </c>
      <c r="E28">
        <v>150102</v>
      </c>
      <c r="F28">
        <v>140091</v>
      </c>
      <c r="G28">
        <v>140088</v>
      </c>
      <c r="H28">
        <v>140088</v>
      </c>
      <c r="I28">
        <v>140092</v>
      </c>
      <c r="J28">
        <v>140088</v>
      </c>
      <c r="K28">
        <v>140088</v>
      </c>
      <c r="L28">
        <f t="shared" ca="1" si="2"/>
        <v>140082</v>
      </c>
      <c r="M28">
        <f t="shared" ca="1" si="3"/>
        <v>4.2832055510343947</v>
      </c>
      <c r="N28">
        <f t="shared" ca="1" si="4"/>
        <v>7159.3780785539893</v>
      </c>
      <c r="O28">
        <f t="shared" ca="1" si="5"/>
        <v>7152.9532702274391</v>
      </c>
      <c r="P28">
        <f t="shared" ca="1" si="6"/>
        <v>6.4248083265515907</v>
      </c>
      <c r="Q28">
        <f t="shared" ca="1" si="7"/>
        <v>4.2832055510343947</v>
      </c>
      <c r="R28">
        <f t="shared" ca="1" si="8"/>
        <v>4.2832055510343947</v>
      </c>
      <c r="S28">
        <f t="shared" ca="1" si="9"/>
        <v>7.1386759183906578</v>
      </c>
      <c r="T28">
        <f t="shared" ca="1" si="10"/>
        <v>4.2832055510343947</v>
      </c>
      <c r="U28">
        <f t="shared" ca="1" si="11"/>
        <v>4.2832055510343947</v>
      </c>
      <c r="W28" t="s">
        <v>18</v>
      </c>
      <c r="X28">
        <f t="shared" ca="1" si="12"/>
        <v>13.07466436825267</v>
      </c>
      <c r="Y28">
        <f t="shared" ca="1" si="13"/>
        <v>17115.636519461044</v>
      </c>
      <c r="Z28">
        <f t="shared" ca="1" si="14"/>
        <v>14695.484493009801</v>
      </c>
      <c r="AA28">
        <f t="shared" ca="1" si="15"/>
        <v>2475.6645679030376</v>
      </c>
      <c r="AB28">
        <f t="shared" ca="1" si="16"/>
        <v>41.731796512448931</v>
      </c>
      <c r="AC28">
        <f t="shared" ca="1" si="17"/>
        <v>28.438003691097059</v>
      </c>
      <c r="AD28">
        <f t="shared" ca="1" si="18"/>
        <v>325.35705764052216</v>
      </c>
      <c r="AE28">
        <f t="shared" ca="1" si="19"/>
        <v>30.726678645688771</v>
      </c>
      <c r="AF28">
        <f t="shared" ca="1" si="20"/>
        <v>34.817076436873961</v>
      </c>
      <c r="AH28" t="s">
        <v>18</v>
      </c>
      <c r="AI28">
        <f t="shared" ca="1" si="21"/>
        <v>13.07466436825267</v>
      </c>
      <c r="AJ28">
        <f t="shared" ca="1" si="22"/>
        <v>101</v>
      </c>
      <c r="AK28">
        <f t="shared" ca="1" si="23"/>
        <v>101</v>
      </c>
      <c r="AL28">
        <f t="shared" ca="1" si="24"/>
        <v>101</v>
      </c>
      <c r="AM28">
        <f t="shared" ca="1" si="25"/>
        <v>41.731796512448931</v>
      </c>
      <c r="AN28">
        <f t="shared" ca="1" si="26"/>
        <v>28.438003691097059</v>
      </c>
      <c r="AO28">
        <f t="shared" ca="1" si="27"/>
        <v>101</v>
      </c>
      <c r="AP28">
        <f t="shared" ca="1" si="28"/>
        <v>30.726678645688771</v>
      </c>
      <c r="AQ28">
        <f t="shared" ca="1" si="29"/>
        <v>34.817076436873961</v>
      </c>
    </row>
    <row r="29" spans="1:43" x14ac:dyDescent="0.3">
      <c r="A29" t="s">
        <v>58</v>
      </c>
      <c r="B29">
        <v>8</v>
      </c>
      <c r="C29">
        <v>140088</v>
      </c>
      <c r="D29">
        <v>150111</v>
      </c>
      <c r="E29">
        <v>150102</v>
      </c>
      <c r="F29">
        <v>140091</v>
      </c>
      <c r="G29">
        <v>140082</v>
      </c>
      <c r="H29">
        <v>140082</v>
      </c>
      <c r="I29">
        <v>140088</v>
      </c>
      <c r="J29">
        <v>140088</v>
      </c>
      <c r="K29">
        <v>140088</v>
      </c>
      <c r="L29">
        <f t="shared" ca="1" si="2"/>
        <v>140082</v>
      </c>
      <c r="M29">
        <f t="shared" ca="1" si="3"/>
        <v>4.2832055510343947</v>
      </c>
      <c r="N29">
        <f t="shared" ca="1" si="4"/>
        <v>7159.3780785539893</v>
      </c>
      <c r="O29">
        <f t="shared" ca="1" si="5"/>
        <v>7152.9532702274391</v>
      </c>
      <c r="P29">
        <f t="shared" ca="1" si="6"/>
        <v>6.4248083265515907</v>
      </c>
      <c r="Q29">
        <f t="shared" ca="1" si="7"/>
        <v>0</v>
      </c>
      <c r="R29">
        <f t="shared" ca="1" si="8"/>
        <v>0</v>
      </c>
      <c r="S29">
        <f t="shared" ca="1" si="9"/>
        <v>4.2832055510343947</v>
      </c>
      <c r="T29">
        <f t="shared" ca="1" si="10"/>
        <v>4.2832055510343947</v>
      </c>
      <c r="U29">
        <f t="shared" ca="1" si="11"/>
        <v>4.2832055510343947</v>
      </c>
      <c r="W29" t="s">
        <v>19</v>
      </c>
      <c r="X29">
        <f t="shared" ca="1" si="12"/>
        <v>31.795233375682631</v>
      </c>
      <c r="Y29">
        <f t="shared" ca="1" si="13"/>
        <v>15597.402280653911</v>
      </c>
      <c r="Z29">
        <f t="shared" ca="1" si="14"/>
        <v>8999.2483553616185</v>
      </c>
      <c r="AA29">
        <f t="shared" ca="1" si="15"/>
        <v>2316.573209966054</v>
      </c>
      <c r="AB29">
        <f t="shared" ca="1" si="16"/>
        <v>57.226985594586381</v>
      </c>
      <c r="AC29">
        <f t="shared" ca="1" si="17"/>
        <v>1154.3842611377549</v>
      </c>
      <c r="AD29">
        <f t="shared" ca="1" si="18"/>
        <v>109.04390358550013</v>
      </c>
      <c r="AE29">
        <f t="shared" ca="1" si="19"/>
        <v>51.905607623760844</v>
      </c>
      <c r="AF29">
        <f t="shared" ca="1" si="20"/>
        <v>61.373225930187957</v>
      </c>
      <c r="AH29" t="s">
        <v>19</v>
      </c>
      <c r="AI29">
        <f t="shared" ca="1" si="21"/>
        <v>31.795233375682631</v>
      </c>
      <c r="AJ29">
        <f t="shared" ca="1" si="22"/>
        <v>101</v>
      </c>
      <c r="AK29">
        <f t="shared" ca="1" si="23"/>
        <v>101</v>
      </c>
      <c r="AL29">
        <f t="shared" ca="1" si="24"/>
        <v>101</v>
      </c>
      <c r="AM29">
        <f t="shared" ca="1" si="25"/>
        <v>57.226985594586381</v>
      </c>
      <c r="AN29">
        <f t="shared" ca="1" si="26"/>
        <v>101</v>
      </c>
      <c r="AO29">
        <f t="shared" ca="1" si="27"/>
        <v>101</v>
      </c>
      <c r="AP29">
        <f t="shared" ca="1" si="28"/>
        <v>51.905607623760844</v>
      </c>
      <c r="AQ29">
        <f t="shared" ca="1" si="29"/>
        <v>61.373225930187957</v>
      </c>
    </row>
    <row r="30" spans="1:43" x14ac:dyDescent="0.3">
      <c r="A30" t="s">
        <v>58</v>
      </c>
      <c r="B30">
        <v>9</v>
      </c>
      <c r="C30">
        <v>140088</v>
      </c>
      <c r="D30">
        <v>150111</v>
      </c>
      <c r="E30">
        <v>150102</v>
      </c>
      <c r="F30">
        <v>140091</v>
      </c>
      <c r="G30">
        <v>140082</v>
      </c>
      <c r="H30">
        <v>140088</v>
      </c>
      <c r="I30">
        <v>140088</v>
      </c>
      <c r="J30">
        <v>140082</v>
      </c>
      <c r="K30">
        <v>140088</v>
      </c>
      <c r="L30">
        <f t="shared" ca="1" si="2"/>
        <v>140082</v>
      </c>
      <c r="M30">
        <f t="shared" ca="1" si="3"/>
        <v>4.2832055510343947</v>
      </c>
      <c r="N30">
        <f t="shared" ca="1" si="4"/>
        <v>7159.3780785539893</v>
      </c>
      <c r="O30">
        <f t="shared" ca="1" si="5"/>
        <v>7152.9532702274391</v>
      </c>
      <c r="P30">
        <f t="shared" ca="1" si="6"/>
        <v>6.4248083265515907</v>
      </c>
      <c r="Q30">
        <f t="shared" ca="1" si="7"/>
        <v>0</v>
      </c>
      <c r="R30">
        <f t="shared" ca="1" si="8"/>
        <v>4.2832055510343947</v>
      </c>
      <c r="S30">
        <f t="shared" ca="1" si="9"/>
        <v>4.2832055510343947</v>
      </c>
      <c r="T30">
        <f t="shared" ca="1" si="10"/>
        <v>0</v>
      </c>
      <c r="U30">
        <f t="shared" ca="1" si="11"/>
        <v>4.2832055510343947</v>
      </c>
      <c r="W30" t="s">
        <v>20</v>
      </c>
      <c r="X30">
        <f t="shared" ca="1" si="12"/>
        <v>18.234570656587</v>
      </c>
      <c r="Y30">
        <f t="shared" ca="1" si="13"/>
        <v>16685.819297304228</v>
      </c>
      <c r="Z30">
        <f t="shared" ca="1" si="14"/>
        <v>16699.400253574498</v>
      </c>
      <c r="AA30">
        <f t="shared" ca="1" si="15"/>
        <v>2451.4575785060001</v>
      </c>
      <c r="AB30">
        <f t="shared" ca="1" si="16"/>
        <v>49.836411208562652</v>
      </c>
      <c r="AC30">
        <f t="shared" ca="1" si="17"/>
        <v>28.01665804006857</v>
      </c>
      <c r="AD30">
        <f t="shared" ca="1" si="18"/>
        <v>115.65181467218136</v>
      </c>
      <c r="AE30">
        <f t="shared" ca="1" si="19"/>
        <v>35.281994786052451</v>
      </c>
      <c r="AF30">
        <f t="shared" ca="1" si="20"/>
        <v>31.886755718484824</v>
      </c>
      <c r="AH30" t="s">
        <v>20</v>
      </c>
      <c r="AI30">
        <f t="shared" ca="1" si="21"/>
        <v>18.234570656587</v>
      </c>
      <c r="AJ30">
        <f t="shared" ca="1" si="22"/>
        <v>101</v>
      </c>
      <c r="AK30">
        <f t="shared" ca="1" si="23"/>
        <v>101</v>
      </c>
      <c r="AL30">
        <f t="shared" ca="1" si="24"/>
        <v>101</v>
      </c>
      <c r="AM30">
        <f t="shared" ca="1" si="25"/>
        <v>49.836411208562652</v>
      </c>
      <c r="AN30">
        <f t="shared" ca="1" si="26"/>
        <v>28.01665804006857</v>
      </c>
      <c r="AO30">
        <f t="shared" ca="1" si="27"/>
        <v>101</v>
      </c>
      <c r="AP30">
        <f t="shared" ca="1" si="28"/>
        <v>35.281994786052451</v>
      </c>
      <c r="AQ30">
        <f t="shared" ca="1" si="29"/>
        <v>31.886755718484824</v>
      </c>
    </row>
    <row r="31" spans="1:43" x14ac:dyDescent="0.3">
      <c r="A31" t="s">
        <v>58</v>
      </c>
      <c r="B31">
        <v>10</v>
      </c>
      <c r="C31">
        <v>140088</v>
      </c>
      <c r="D31">
        <v>150111</v>
      </c>
      <c r="E31">
        <v>150102</v>
      </c>
      <c r="F31">
        <v>140091</v>
      </c>
      <c r="G31">
        <v>140087</v>
      </c>
      <c r="H31">
        <v>140082</v>
      </c>
      <c r="I31">
        <v>140088</v>
      </c>
      <c r="J31">
        <v>140088</v>
      </c>
      <c r="K31">
        <v>140088</v>
      </c>
      <c r="L31">
        <f t="shared" ca="1" si="2"/>
        <v>140082</v>
      </c>
      <c r="M31">
        <f t="shared" ca="1" si="3"/>
        <v>4.2832055510343947</v>
      </c>
      <c r="N31">
        <f t="shared" ca="1" si="4"/>
        <v>7159.3780785539893</v>
      </c>
      <c r="O31">
        <f t="shared" ca="1" si="5"/>
        <v>7152.9532702274391</v>
      </c>
      <c r="P31">
        <f t="shared" ca="1" si="6"/>
        <v>6.4248083265515907</v>
      </c>
      <c r="Q31">
        <f t="shared" ca="1" si="7"/>
        <v>3.5693379591953289</v>
      </c>
      <c r="R31">
        <f t="shared" ca="1" si="8"/>
        <v>0</v>
      </c>
      <c r="S31">
        <f t="shared" ca="1" si="9"/>
        <v>4.2832055510343947</v>
      </c>
      <c r="T31">
        <f t="shared" ca="1" si="10"/>
        <v>4.2832055510343947</v>
      </c>
      <c r="U31">
        <f t="shared" ca="1" si="11"/>
        <v>4.2832055510343947</v>
      </c>
      <c r="W31" t="s">
        <v>21</v>
      </c>
      <c r="X31">
        <f t="shared" ca="1" si="12"/>
        <v>15.967042731360561</v>
      </c>
      <c r="Y31">
        <f t="shared" ca="1" si="13"/>
        <v>10864.589784323758</v>
      </c>
      <c r="Z31">
        <f t="shared" ca="1" si="14"/>
        <v>13690.460163170788</v>
      </c>
      <c r="AA31">
        <f t="shared" ca="1" si="15"/>
        <v>2804.3296803898861</v>
      </c>
      <c r="AB31">
        <f t="shared" ca="1" si="16"/>
        <v>1131.6136675731709</v>
      </c>
      <c r="AC31">
        <f t="shared" ca="1" si="17"/>
        <v>302.08136998842178</v>
      </c>
      <c r="AD31">
        <f t="shared" ca="1" si="18"/>
        <v>138.72209806402972</v>
      </c>
      <c r="AE31">
        <f t="shared" ca="1" si="19"/>
        <v>24.340989256576641</v>
      </c>
      <c r="AF31">
        <f t="shared" ca="1" si="20"/>
        <v>27.706723390505932</v>
      </c>
      <c r="AH31" t="s">
        <v>21</v>
      </c>
      <c r="AI31">
        <f t="shared" ca="1" si="21"/>
        <v>15.967042731360561</v>
      </c>
      <c r="AJ31">
        <f t="shared" ca="1" si="22"/>
        <v>101</v>
      </c>
      <c r="AK31">
        <f t="shared" ca="1" si="23"/>
        <v>101</v>
      </c>
      <c r="AL31">
        <f t="shared" ca="1" si="24"/>
        <v>101</v>
      </c>
      <c r="AM31">
        <f t="shared" ca="1" si="25"/>
        <v>101</v>
      </c>
      <c r="AN31">
        <f t="shared" ca="1" si="26"/>
        <v>101</v>
      </c>
      <c r="AO31">
        <f t="shared" ca="1" si="27"/>
        <v>101</v>
      </c>
      <c r="AP31">
        <f t="shared" ca="1" si="28"/>
        <v>24.340989256576641</v>
      </c>
      <c r="AQ31">
        <f t="shared" ca="1" si="29"/>
        <v>27.706723390505932</v>
      </c>
    </row>
    <row r="32" spans="1:43" x14ac:dyDescent="0.3">
      <c r="A32" t="s">
        <v>4</v>
      </c>
      <c r="B32">
        <v>1</v>
      </c>
      <c r="C32">
        <v>120117</v>
      </c>
      <c r="D32">
        <v>150134</v>
      </c>
      <c r="E32">
        <v>140140</v>
      </c>
      <c r="F32">
        <v>130144</v>
      </c>
      <c r="G32">
        <v>120117</v>
      </c>
      <c r="H32">
        <v>120117</v>
      </c>
      <c r="I32">
        <v>120117</v>
      </c>
      <c r="J32">
        <v>120121</v>
      </c>
      <c r="K32">
        <v>120117</v>
      </c>
      <c r="L32">
        <f t="shared" ca="1" si="2"/>
        <v>120117</v>
      </c>
      <c r="M32">
        <f t="shared" ca="1" si="3"/>
        <v>0</v>
      </c>
      <c r="N32">
        <f t="shared" ca="1" si="4"/>
        <v>24989.801610096823</v>
      </c>
      <c r="O32">
        <f t="shared" ca="1" si="5"/>
        <v>16669.580492353289</v>
      </c>
      <c r="P32">
        <f t="shared" ca="1" si="6"/>
        <v>8347.6943313602569</v>
      </c>
      <c r="Q32">
        <f t="shared" ca="1" si="7"/>
        <v>0</v>
      </c>
      <c r="R32">
        <f t="shared" ca="1" si="8"/>
        <v>0</v>
      </c>
      <c r="S32">
        <f t="shared" ca="1" si="9"/>
        <v>0</v>
      </c>
      <c r="T32">
        <f t="shared" ca="1" si="10"/>
        <v>3.3300864989968115</v>
      </c>
      <c r="U32">
        <f t="shared" ca="1" si="11"/>
        <v>0</v>
      </c>
    </row>
    <row r="33" spans="1:21" x14ac:dyDescent="0.3">
      <c r="A33" t="s">
        <v>4</v>
      </c>
      <c r="B33">
        <v>2</v>
      </c>
      <c r="C33">
        <v>120117</v>
      </c>
      <c r="D33">
        <v>150134</v>
      </c>
      <c r="E33">
        <v>140140</v>
      </c>
      <c r="F33">
        <v>130144</v>
      </c>
      <c r="G33">
        <v>120117</v>
      </c>
      <c r="H33">
        <v>120117</v>
      </c>
      <c r="I33">
        <v>120120</v>
      </c>
      <c r="J33">
        <v>120121</v>
      </c>
      <c r="K33">
        <v>120119</v>
      </c>
      <c r="L33">
        <f t="shared" ca="1" si="2"/>
        <v>120117</v>
      </c>
      <c r="M33">
        <f t="shared" ca="1" si="3"/>
        <v>0</v>
      </c>
      <c r="N33">
        <f t="shared" ca="1" si="4"/>
        <v>24989.801610096823</v>
      </c>
      <c r="O33">
        <f t="shared" ca="1" si="5"/>
        <v>16669.580492353289</v>
      </c>
      <c r="P33">
        <f t="shared" ca="1" si="6"/>
        <v>8347.6943313602569</v>
      </c>
      <c r="Q33">
        <f t="shared" ca="1" si="7"/>
        <v>0</v>
      </c>
      <c r="R33">
        <f t="shared" ca="1" si="8"/>
        <v>0</v>
      </c>
      <c r="S33">
        <f t="shared" ca="1" si="9"/>
        <v>2.4975648742476086</v>
      </c>
      <c r="T33">
        <f t="shared" ca="1" si="10"/>
        <v>3.3300864989968115</v>
      </c>
      <c r="U33">
        <f t="shared" ca="1" si="11"/>
        <v>1.6650432494984058</v>
      </c>
    </row>
    <row r="34" spans="1:21" x14ac:dyDescent="0.3">
      <c r="A34" t="s">
        <v>59</v>
      </c>
      <c r="B34">
        <v>3</v>
      </c>
      <c r="C34">
        <v>120117</v>
      </c>
      <c r="D34">
        <v>150134</v>
      </c>
      <c r="E34">
        <v>140140</v>
      </c>
      <c r="F34">
        <v>130144</v>
      </c>
      <c r="G34">
        <v>120117</v>
      </c>
      <c r="H34">
        <v>120117</v>
      </c>
      <c r="I34">
        <v>120117</v>
      </c>
      <c r="J34">
        <v>120117</v>
      </c>
      <c r="K34">
        <v>120119</v>
      </c>
      <c r="L34">
        <f t="shared" ca="1" si="2"/>
        <v>120117</v>
      </c>
      <c r="M34">
        <f t="shared" ca="1" si="3"/>
        <v>0</v>
      </c>
      <c r="N34">
        <f t="shared" ca="1" si="4"/>
        <v>24989.801610096823</v>
      </c>
      <c r="O34">
        <f t="shared" ca="1" si="5"/>
        <v>16669.580492353289</v>
      </c>
      <c r="P34">
        <f t="shared" ca="1" si="6"/>
        <v>8347.6943313602569</v>
      </c>
      <c r="Q34">
        <f t="shared" ca="1" si="7"/>
        <v>0</v>
      </c>
      <c r="R34">
        <f t="shared" ca="1" si="8"/>
        <v>0</v>
      </c>
      <c r="S34">
        <f t="shared" ca="1" si="9"/>
        <v>0</v>
      </c>
      <c r="T34">
        <f t="shared" ca="1" si="10"/>
        <v>0</v>
      </c>
      <c r="U34">
        <f t="shared" ca="1" si="11"/>
        <v>1.6650432494984058</v>
      </c>
    </row>
    <row r="35" spans="1:21" x14ac:dyDescent="0.3">
      <c r="A35" t="s">
        <v>59</v>
      </c>
      <c r="B35">
        <v>4</v>
      </c>
      <c r="C35">
        <v>120117</v>
      </c>
      <c r="D35">
        <v>150134</v>
      </c>
      <c r="E35">
        <v>140140</v>
      </c>
      <c r="F35">
        <v>130144</v>
      </c>
      <c r="G35">
        <v>120117</v>
      </c>
      <c r="H35">
        <v>120119</v>
      </c>
      <c r="I35">
        <v>120117</v>
      </c>
      <c r="J35">
        <v>120117</v>
      </c>
      <c r="K35">
        <v>120119</v>
      </c>
      <c r="L35">
        <f t="shared" ca="1" si="2"/>
        <v>120117</v>
      </c>
      <c r="M35">
        <f t="shared" ca="1" si="3"/>
        <v>0</v>
      </c>
      <c r="N35">
        <f t="shared" ca="1" si="4"/>
        <v>24989.801610096823</v>
      </c>
      <c r="O35">
        <f t="shared" ca="1" si="5"/>
        <v>16669.580492353289</v>
      </c>
      <c r="P35">
        <f t="shared" ca="1" si="6"/>
        <v>8347.6943313602569</v>
      </c>
      <c r="Q35">
        <f t="shared" ca="1" si="7"/>
        <v>0</v>
      </c>
      <c r="R35">
        <f t="shared" ca="1" si="8"/>
        <v>1.6650432494984058</v>
      </c>
      <c r="S35">
        <f t="shared" ca="1" si="9"/>
        <v>0</v>
      </c>
      <c r="T35">
        <f t="shared" ca="1" si="10"/>
        <v>0</v>
      </c>
      <c r="U35">
        <f t="shared" ca="1" si="11"/>
        <v>1.6650432494984058</v>
      </c>
    </row>
    <row r="36" spans="1:21" x14ac:dyDescent="0.3">
      <c r="A36" t="s">
        <v>59</v>
      </c>
      <c r="B36">
        <v>5</v>
      </c>
      <c r="C36">
        <v>120117</v>
      </c>
      <c r="D36">
        <v>150134</v>
      </c>
      <c r="E36">
        <v>140140</v>
      </c>
      <c r="F36">
        <v>130144</v>
      </c>
      <c r="G36">
        <v>120117</v>
      </c>
      <c r="H36">
        <v>120117</v>
      </c>
      <c r="I36">
        <v>120119</v>
      </c>
      <c r="J36">
        <v>120117</v>
      </c>
      <c r="K36">
        <v>120117</v>
      </c>
      <c r="L36">
        <f t="shared" ca="1" si="2"/>
        <v>120117</v>
      </c>
      <c r="M36">
        <f t="shared" ca="1" si="3"/>
        <v>0</v>
      </c>
      <c r="N36">
        <f t="shared" ca="1" si="4"/>
        <v>24989.801610096823</v>
      </c>
      <c r="O36">
        <f t="shared" ca="1" si="5"/>
        <v>16669.580492353289</v>
      </c>
      <c r="P36">
        <f t="shared" ca="1" si="6"/>
        <v>8347.6943313602569</v>
      </c>
      <c r="Q36">
        <f t="shared" ca="1" si="7"/>
        <v>0</v>
      </c>
      <c r="R36">
        <f t="shared" ca="1" si="8"/>
        <v>0</v>
      </c>
      <c r="S36">
        <f t="shared" ca="1" si="9"/>
        <v>1.6650432494984058</v>
      </c>
      <c r="T36">
        <f t="shared" ca="1" si="10"/>
        <v>0</v>
      </c>
      <c r="U36">
        <f t="shared" ca="1" si="11"/>
        <v>0</v>
      </c>
    </row>
    <row r="37" spans="1:21" x14ac:dyDescent="0.3">
      <c r="A37" t="s">
        <v>59</v>
      </c>
      <c r="B37">
        <v>6</v>
      </c>
      <c r="C37">
        <v>120117</v>
      </c>
      <c r="D37">
        <v>150134</v>
      </c>
      <c r="E37">
        <v>140140</v>
      </c>
      <c r="F37">
        <v>130144</v>
      </c>
      <c r="G37">
        <v>120117</v>
      </c>
      <c r="H37">
        <v>120117</v>
      </c>
      <c r="I37">
        <v>120117</v>
      </c>
      <c r="J37">
        <v>120121</v>
      </c>
      <c r="K37">
        <v>120117</v>
      </c>
      <c r="L37">
        <f t="shared" ca="1" si="2"/>
        <v>120117</v>
      </c>
      <c r="M37">
        <f t="shared" ca="1" si="3"/>
        <v>0</v>
      </c>
      <c r="N37">
        <f t="shared" ca="1" si="4"/>
        <v>24989.801610096823</v>
      </c>
      <c r="O37">
        <f t="shared" ca="1" si="5"/>
        <v>16669.580492353289</v>
      </c>
      <c r="P37">
        <f t="shared" ca="1" si="6"/>
        <v>8347.6943313602569</v>
      </c>
      <c r="Q37">
        <f t="shared" ca="1" si="7"/>
        <v>0</v>
      </c>
      <c r="R37">
        <f t="shared" ca="1" si="8"/>
        <v>0</v>
      </c>
      <c r="S37">
        <f t="shared" ca="1" si="9"/>
        <v>0</v>
      </c>
      <c r="T37">
        <f t="shared" ca="1" si="10"/>
        <v>3.3300864989968115</v>
      </c>
      <c r="U37">
        <f t="shared" ca="1" si="11"/>
        <v>0</v>
      </c>
    </row>
    <row r="38" spans="1:21" x14ac:dyDescent="0.3">
      <c r="A38" t="s">
        <v>59</v>
      </c>
      <c r="B38">
        <v>7</v>
      </c>
      <c r="C38">
        <v>120117</v>
      </c>
      <c r="D38">
        <v>150134</v>
      </c>
      <c r="E38">
        <v>140140</v>
      </c>
      <c r="F38">
        <v>130144</v>
      </c>
      <c r="G38">
        <v>120117</v>
      </c>
      <c r="H38">
        <v>120117</v>
      </c>
      <c r="I38">
        <v>120117</v>
      </c>
      <c r="J38">
        <v>120119</v>
      </c>
      <c r="K38">
        <v>120117</v>
      </c>
      <c r="L38">
        <f t="shared" ca="1" si="2"/>
        <v>120117</v>
      </c>
      <c r="M38">
        <f t="shared" ca="1" si="3"/>
        <v>0</v>
      </c>
      <c r="N38">
        <f t="shared" ca="1" si="4"/>
        <v>24989.801610096823</v>
      </c>
      <c r="O38">
        <f t="shared" ca="1" si="5"/>
        <v>16669.580492353289</v>
      </c>
      <c r="P38">
        <f t="shared" ca="1" si="6"/>
        <v>8347.6943313602569</v>
      </c>
      <c r="Q38">
        <f t="shared" ca="1" si="7"/>
        <v>0</v>
      </c>
      <c r="R38">
        <f t="shared" ca="1" si="8"/>
        <v>0</v>
      </c>
      <c r="S38">
        <f t="shared" ca="1" si="9"/>
        <v>0</v>
      </c>
      <c r="T38">
        <f t="shared" ca="1" si="10"/>
        <v>1.6650432494984058</v>
      </c>
      <c r="U38">
        <f t="shared" ca="1" si="11"/>
        <v>0</v>
      </c>
    </row>
    <row r="39" spans="1:21" x14ac:dyDescent="0.3">
      <c r="A39" t="s">
        <v>59</v>
      </c>
      <c r="B39">
        <v>8</v>
      </c>
      <c r="C39">
        <v>120117</v>
      </c>
      <c r="D39">
        <v>150134</v>
      </c>
      <c r="E39">
        <v>140140</v>
      </c>
      <c r="F39">
        <v>130144</v>
      </c>
      <c r="G39">
        <v>120117</v>
      </c>
      <c r="H39">
        <v>120117</v>
      </c>
      <c r="I39">
        <v>120117</v>
      </c>
      <c r="J39">
        <v>120119</v>
      </c>
      <c r="K39">
        <v>120117</v>
      </c>
      <c r="L39">
        <f t="shared" ca="1" si="2"/>
        <v>120117</v>
      </c>
      <c r="M39">
        <f t="shared" ca="1" si="3"/>
        <v>0</v>
      </c>
      <c r="N39">
        <f t="shared" ca="1" si="4"/>
        <v>24989.801610096823</v>
      </c>
      <c r="O39">
        <f t="shared" ca="1" si="5"/>
        <v>16669.580492353289</v>
      </c>
      <c r="P39">
        <f t="shared" ca="1" si="6"/>
        <v>8347.6943313602569</v>
      </c>
      <c r="Q39">
        <f t="shared" ca="1" si="7"/>
        <v>0</v>
      </c>
      <c r="R39">
        <f t="shared" ca="1" si="8"/>
        <v>0</v>
      </c>
      <c r="S39">
        <f t="shared" ca="1" si="9"/>
        <v>0</v>
      </c>
      <c r="T39">
        <f t="shared" ca="1" si="10"/>
        <v>1.6650432494984058</v>
      </c>
      <c r="U39">
        <f t="shared" ca="1" si="11"/>
        <v>0</v>
      </c>
    </row>
    <row r="40" spans="1:21" x14ac:dyDescent="0.3">
      <c r="A40" t="s">
        <v>59</v>
      </c>
      <c r="B40">
        <v>9</v>
      </c>
      <c r="C40">
        <v>120117</v>
      </c>
      <c r="D40">
        <v>150134</v>
      </c>
      <c r="E40">
        <v>140140</v>
      </c>
      <c r="F40">
        <v>130144</v>
      </c>
      <c r="G40">
        <v>120117</v>
      </c>
      <c r="H40">
        <v>120130</v>
      </c>
      <c r="I40">
        <v>120117</v>
      </c>
      <c r="J40">
        <v>120117</v>
      </c>
      <c r="K40">
        <v>120117</v>
      </c>
      <c r="L40">
        <f t="shared" ca="1" si="2"/>
        <v>120117</v>
      </c>
      <c r="M40">
        <f t="shared" ca="1" si="3"/>
        <v>0</v>
      </c>
      <c r="N40">
        <f t="shared" ca="1" si="4"/>
        <v>24989.801610096823</v>
      </c>
      <c r="O40">
        <f t="shared" ca="1" si="5"/>
        <v>16669.580492353289</v>
      </c>
      <c r="P40">
        <f t="shared" ca="1" si="6"/>
        <v>8347.6943313602569</v>
      </c>
      <c r="Q40">
        <f t="shared" ca="1" si="7"/>
        <v>0</v>
      </c>
      <c r="R40">
        <f t="shared" ca="1" si="8"/>
        <v>10.822781121739638</v>
      </c>
      <c r="S40">
        <f t="shared" ca="1" si="9"/>
        <v>0</v>
      </c>
      <c r="T40">
        <f t="shared" ca="1" si="10"/>
        <v>0</v>
      </c>
      <c r="U40">
        <f t="shared" ca="1" si="11"/>
        <v>0</v>
      </c>
    </row>
    <row r="41" spans="1:21" x14ac:dyDescent="0.3">
      <c r="A41" t="s">
        <v>59</v>
      </c>
      <c r="B41">
        <v>10</v>
      </c>
      <c r="C41">
        <v>120117</v>
      </c>
      <c r="D41">
        <v>150134</v>
      </c>
      <c r="E41">
        <v>140140</v>
      </c>
      <c r="F41">
        <v>130144</v>
      </c>
      <c r="G41">
        <v>120117</v>
      </c>
      <c r="H41">
        <v>120117</v>
      </c>
      <c r="I41">
        <v>120117</v>
      </c>
      <c r="J41">
        <v>120117</v>
      </c>
      <c r="K41">
        <v>120117</v>
      </c>
      <c r="L41">
        <f t="shared" ca="1" si="2"/>
        <v>120117</v>
      </c>
      <c r="M41">
        <f t="shared" ca="1" si="3"/>
        <v>0</v>
      </c>
      <c r="N41">
        <f t="shared" ca="1" si="4"/>
        <v>24989.801610096823</v>
      </c>
      <c r="O41">
        <f t="shared" ca="1" si="5"/>
        <v>16669.580492353289</v>
      </c>
      <c r="P41">
        <f t="shared" ca="1" si="6"/>
        <v>8347.6943313602569</v>
      </c>
      <c r="Q41">
        <f t="shared" ca="1" si="7"/>
        <v>0</v>
      </c>
      <c r="R41">
        <f t="shared" ca="1" si="8"/>
        <v>0</v>
      </c>
      <c r="S41">
        <f t="shared" ca="1" si="9"/>
        <v>0</v>
      </c>
      <c r="T41">
        <f t="shared" ca="1" si="10"/>
        <v>0</v>
      </c>
      <c r="U41">
        <f t="shared" ca="1" si="11"/>
        <v>0</v>
      </c>
    </row>
    <row r="42" spans="1:21" x14ac:dyDescent="0.3">
      <c r="A42" t="s">
        <v>5</v>
      </c>
      <c r="B42">
        <v>1</v>
      </c>
      <c r="C42">
        <v>80068</v>
      </c>
      <c r="D42">
        <v>100083</v>
      </c>
      <c r="E42">
        <v>100098</v>
      </c>
      <c r="F42">
        <v>80086</v>
      </c>
      <c r="G42">
        <v>80068</v>
      </c>
      <c r="H42">
        <v>80068</v>
      </c>
      <c r="I42">
        <v>80071</v>
      </c>
      <c r="J42">
        <v>80071</v>
      </c>
      <c r="K42">
        <v>80071</v>
      </c>
      <c r="L42">
        <f t="shared" ca="1" si="2"/>
        <v>80068</v>
      </c>
      <c r="M42">
        <f t="shared" ca="1" si="3"/>
        <v>0</v>
      </c>
      <c r="N42">
        <f t="shared" ca="1" si="4"/>
        <v>24997.502123195281</v>
      </c>
      <c r="O42">
        <f t="shared" ca="1" si="5"/>
        <v>25016.236199230651</v>
      </c>
      <c r="P42">
        <f t="shared" ca="1" si="6"/>
        <v>22.480891242443921</v>
      </c>
      <c r="Q42">
        <f t="shared" ca="1" si="7"/>
        <v>0</v>
      </c>
      <c r="R42">
        <f t="shared" ca="1" si="8"/>
        <v>0</v>
      </c>
      <c r="S42">
        <f t="shared" ca="1" si="9"/>
        <v>3.7468152070739871</v>
      </c>
      <c r="T42">
        <f t="shared" ca="1" si="10"/>
        <v>3.7468152070739871</v>
      </c>
      <c r="U42">
        <f t="shared" ca="1" si="11"/>
        <v>3.7468152070739871</v>
      </c>
    </row>
    <row r="43" spans="1:21" x14ac:dyDescent="0.3">
      <c r="A43" t="s">
        <v>5</v>
      </c>
      <c r="B43">
        <v>2</v>
      </c>
      <c r="C43">
        <v>80068</v>
      </c>
      <c r="D43">
        <v>100083</v>
      </c>
      <c r="E43">
        <v>100098</v>
      </c>
      <c r="F43">
        <v>80086</v>
      </c>
      <c r="G43">
        <v>80068</v>
      </c>
      <c r="H43">
        <v>80068</v>
      </c>
      <c r="I43">
        <v>80071</v>
      </c>
      <c r="J43">
        <v>80071</v>
      </c>
      <c r="K43">
        <v>80071</v>
      </c>
      <c r="L43">
        <f t="shared" ca="1" si="2"/>
        <v>80068</v>
      </c>
      <c r="M43">
        <f t="shared" ca="1" si="3"/>
        <v>0</v>
      </c>
      <c r="N43">
        <f t="shared" ca="1" si="4"/>
        <v>24997.502123195281</v>
      </c>
      <c r="O43">
        <f t="shared" ca="1" si="5"/>
        <v>25016.236199230651</v>
      </c>
      <c r="P43">
        <f t="shared" ca="1" si="6"/>
        <v>22.480891242443921</v>
      </c>
      <c r="Q43">
        <f t="shared" ca="1" si="7"/>
        <v>0</v>
      </c>
      <c r="R43">
        <f t="shared" ca="1" si="8"/>
        <v>0</v>
      </c>
      <c r="S43">
        <f t="shared" ca="1" si="9"/>
        <v>3.7468152070739871</v>
      </c>
      <c r="T43">
        <f t="shared" ca="1" si="10"/>
        <v>3.7468152070739871</v>
      </c>
      <c r="U43">
        <f t="shared" ca="1" si="11"/>
        <v>3.7468152070739871</v>
      </c>
    </row>
    <row r="44" spans="1:21" x14ac:dyDescent="0.3">
      <c r="A44" t="s">
        <v>60</v>
      </c>
      <c r="B44">
        <v>3</v>
      </c>
      <c r="C44">
        <v>80068</v>
      </c>
      <c r="D44">
        <v>100083</v>
      </c>
      <c r="E44">
        <v>100098</v>
      </c>
      <c r="F44">
        <v>80086</v>
      </c>
      <c r="G44">
        <v>80072</v>
      </c>
      <c r="H44">
        <v>80072</v>
      </c>
      <c r="I44">
        <v>80071</v>
      </c>
      <c r="J44">
        <v>80071</v>
      </c>
      <c r="K44">
        <v>80071</v>
      </c>
      <c r="L44">
        <f t="shared" ca="1" si="2"/>
        <v>80068</v>
      </c>
      <c r="M44">
        <f t="shared" ca="1" si="3"/>
        <v>0</v>
      </c>
      <c r="N44">
        <f t="shared" ca="1" si="4"/>
        <v>24997.502123195281</v>
      </c>
      <c r="O44">
        <f t="shared" ca="1" si="5"/>
        <v>25016.236199230651</v>
      </c>
      <c r="P44">
        <f t="shared" ca="1" si="6"/>
        <v>22.480891242443921</v>
      </c>
      <c r="Q44">
        <f t="shared" ca="1" si="7"/>
        <v>4.9957536094319828</v>
      </c>
      <c r="R44">
        <f t="shared" ca="1" si="8"/>
        <v>4.9957536094319828</v>
      </c>
      <c r="S44">
        <f t="shared" ca="1" si="9"/>
        <v>3.7468152070739871</v>
      </c>
      <c r="T44">
        <f t="shared" ca="1" si="10"/>
        <v>3.7468152070739871</v>
      </c>
      <c r="U44">
        <f t="shared" ca="1" si="11"/>
        <v>3.7468152070739871</v>
      </c>
    </row>
    <row r="45" spans="1:21" x14ac:dyDescent="0.3">
      <c r="A45" t="s">
        <v>60</v>
      </c>
      <c r="B45">
        <v>4</v>
      </c>
      <c r="C45">
        <v>80068</v>
      </c>
      <c r="D45">
        <v>100083</v>
      </c>
      <c r="E45">
        <v>100098</v>
      </c>
      <c r="F45">
        <v>80086</v>
      </c>
      <c r="G45">
        <v>80068</v>
      </c>
      <c r="H45">
        <v>80068</v>
      </c>
      <c r="I45">
        <v>80071</v>
      </c>
      <c r="J45">
        <v>80071</v>
      </c>
      <c r="K45">
        <v>80071</v>
      </c>
      <c r="L45">
        <f t="shared" ca="1" si="2"/>
        <v>80068</v>
      </c>
      <c r="M45">
        <f t="shared" ca="1" si="3"/>
        <v>0</v>
      </c>
      <c r="N45">
        <f t="shared" ca="1" si="4"/>
        <v>24997.502123195281</v>
      </c>
      <c r="O45">
        <f t="shared" ca="1" si="5"/>
        <v>25016.236199230651</v>
      </c>
      <c r="P45">
        <f t="shared" ca="1" si="6"/>
        <v>22.480891242443921</v>
      </c>
      <c r="Q45">
        <f t="shared" ca="1" si="7"/>
        <v>0</v>
      </c>
      <c r="R45">
        <f t="shared" ca="1" si="8"/>
        <v>0</v>
      </c>
      <c r="S45">
        <f t="shared" ca="1" si="9"/>
        <v>3.7468152070739871</v>
      </c>
      <c r="T45">
        <f t="shared" ca="1" si="10"/>
        <v>3.7468152070739871</v>
      </c>
      <c r="U45">
        <f t="shared" ca="1" si="11"/>
        <v>3.7468152070739871</v>
      </c>
    </row>
    <row r="46" spans="1:21" x14ac:dyDescent="0.3">
      <c r="A46" t="s">
        <v>60</v>
      </c>
      <c r="B46">
        <v>5</v>
      </c>
      <c r="C46">
        <v>80068</v>
      </c>
      <c r="D46">
        <v>100083</v>
      </c>
      <c r="E46">
        <v>100098</v>
      </c>
      <c r="F46">
        <v>80086</v>
      </c>
      <c r="G46">
        <v>80068</v>
      </c>
      <c r="H46">
        <v>80072</v>
      </c>
      <c r="I46">
        <v>80071</v>
      </c>
      <c r="J46">
        <v>80071</v>
      </c>
      <c r="K46">
        <v>80071</v>
      </c>
      <c r="L46">
        <f t="shared" ca="1" si="2"/>
        <v>80068</v>
      </c>
      <c r="M46">
        <f t="shared" ca="1" si="3"/>
        <v>0</v>
      </c>
      <c r="N46">
        <f t="shared" ca="1" si="4"/>
        <v>24997.502123195281</v>
      </c>
      <c r="O46">
        <f t="shared" ca="1" si="5"/>
        <v>25016.236199230651</v>
      </c>
      <c r="P46">
        <f t="shared" ca="1" si="6"/>
        <v>22.480891242443921</v>
      </c>
      <c r="Q46">
        <f t="shared" ca="1" si="7"/>
        <v>0</v>
      </c>
      <c r="R46">
        <f t="shared" ca="1" si="8"/>
        <v>4.9957536094319828</v>
      </c>
      <c r="S46">
        <f t="shared" ca="1" si="9"/>
        <v>3.7468152070739871</v>
      </c>
      <c r="T46">
        <f t="shared" ca="1" si="10"/>
        <v>3.7468152070739871</v>
      </c>
      <c r="U46">
        <f t="shared" ca="1" si="11"/>
        <v>3.7468152070739871</v>
      </c>
    </row>
    <row r="47" spans="1:21" x14ac:dyDescent="0.3">
      <c r="A47" t="s">
        <v>60</v>
      </c>
      <c r="B47">
        <v>6</v>
      </c>
      <c r="C47">
        <v>80068</v>
      </c>
      <c r="D47">
        <v>100083</v>
      </c>
      <c r="E47">
        <v>100098</v>
      </c>
      <c r="F47">
        <v>80086</v>
      </c>
      <c r="G47">
        <v>80068</v>
      </c>
      <c r="H47">
        <v>80072</v>
      </c>
      <c r="I47">
        <v>80071</v>
      </c>
      <c r="J47">
        <v>80071</v>
      </c>
      <c r="K47">
        <v>80071</v>
      </c>
      <c r="L47">
        <f t="shared" ca="1" si="2"/>
        <v>80068</v>
      </c>
      <c r="M47">
        <f t="shared" ca="1" si="3"/>
        <v>0</v>
      </c>
      <c r="N47">
        <f t="shared" ca="1" si="4"/>
        <v>24997.502123195281</v>
      </c>
      <c r="O47">
        <f t="shared" ca="1" si="5"/>
        <v>25016.236199230651</v>
      </c>
      <c r="P47">
        <f t="shared" ca="1" si="6"/>
        <v>22.480891242443921</v>
      </c>
      <c r="Q47">
        <f t="shared" ca="1" si="7"/>
        <v>0</v>
      </c>
      <c r="R47">
        <f t="shared" ca="1" si="8"/>
        <v>4.9957536094319828</v>
      </c>
      <c r="S47">
        <f t="shared" ca="1" si="9"/>
        <v>3.7468152070739871</v>
      </c>
      <c r="T47">
        <f t="shared" ca="1" si="10"/>
        <v>3.7468152070739871</v>
      </c>
      <c r="U47">
        <f t="shared" ca="1" si="11"/>
        <v>3.7468152070739871</v>
      </c>
    </row>
    <row r="48" spans="1:21" x14ac:dyDescent="0.3">
      <c r="A48" t="s">
        <v>60</v>
      </c>
      <c r="B48">
        <v>7</v>
      </c>
      <c r="C48">
        <v>80068</v>
      </c>
      <c r="D48">
        <v>100083</v>
      </c>
      <c r="E48">
        <v>100098</v>
      </c>
      <c r="F48">
        <v>80086</v>
      </c>
      <c r="G48">
        <v>80068</v>
      </c>
      <c r="H48">
        <v>80068</v>
      </c>
      <c r="I48">
        <v>80071</v>
      </c>
      <c r="J48">
        <v>80071</v>
      </c>
      <c r="K48">
        <v>80071</v>
      </c>
      <c r="L48">
        <f t="shared" ca="1" si="2"/>
        <v>80068</v>
      </c>
      <c r="M48">
        <f t="shared" ca="1" si="3"/>
        <v>0</v>
      </c>
      <c r="N48">
        <f t="shared" ca="1" si="4"/>
        <v>24997.502123195281</v>
      </c>
      <c r="O48">
        <f t="shared" ca="1" si="5"/>
        <v>25016.236199230651</v>
      </c>
      <c r="P48">
        <f t="shared" ca="1" si="6"/>
        <v>22.480891242443921</v>
      </c>
      <c r="Q48">
        <f t="shared" ca="1" si="7"/>
        <v>0</v>
      </c>
      <c r="R48">
        <f t="shared" ca="1" si="8"/>
        <v>0</v>
      </c>
      <c r="S48">
        <f t="shared" ca="1" si="9"/>
        <v>3.7468152070739871</v>
      </c>
      <c r="T48">
        <f t="shared" ca="1" si="10"/>
        <v>3.7468152070739871</v>
      </c>
      <c r="U48">
        <f t="shared" ca="1" si="11"/>
        <v>3.7468152070739871</v>
      </c>
    </row>
    <row r="49" spans="1:21" x14ac:dyDescent="0.3">
      <c r="A49" t="s">
        <v>60</v>
      </c>
      <c r="B49">
        <v>8</v>
      </c>
      <c r="C49">
        <v>80068</v>
      </c>
      <c r="D49">
        <v>100083</v>
      </c>
      <c r="E49">
        <v>100098</v>
      </c>
      <c r="F49">
        <v>80086</v>
      </c>
      <c r="G49">
        <v>80068</v>
      </c>
      <c r="H49">
        <v>80072</v>
      </c>
      <c r="I49">
        <v>80071</v>
      </c>
      <c r="J49">
        <v>80071</v>
      </c>
      <c r="K49">
        <v>80071</v>
      </c>
      <c r="L49">
        <f t="shared" ca="1" si="2"/>
        <v>80068</v>
      </c>
      <c r="M49">
        <f t="shared" ca="1" si="3"/>
        <v>0</v>
      </c>
      <c r="N49">
        <f t="shared" ca="1" si="4"/>
        <v>24997.502123195281</v>
      </c>
      <c r="O49">
        <f t="shared" ca="1" si="5"/>
        <v>25016.236199230651</v>
      </c>
      <c r="P49">
        <f t="shared" ca="1" si="6"/>
        <v>22.480891242443921</v>
      </c>
      <c r="Q49">
        <f t="shared" ca="1" si="7"/>
        <v>0</v>
      </c>
      <c r="R49">
        <f t="shared" ca="1" si="8"/>
        <v>4.9957536094319828</v>
      </c>
      <c r="S49">
        <f t="shared" ca="1" si="9"/>
        <v>3.7468152070739871</v>
      </c>
      <c r="T49">
        <f t="shared" ca="1" si="10"/>
        <v>3.7468152070739871</v>
      </c>
      <c r="U49">
        <f t="shared" ca="1" si="11"/>
        <v>3.7468152070739871</v>
      </c>
    </row>
    <row r="50" spans="1:21" x14ac:dyDescent="0.3">
      <c r="A50" t="s">
        <v>60</v>
      </c>
      <c r="B50">
        <v>9</v>
      </c>
      <c r="C50">
        <v>80068</v>
      </c>
      <c r="D50">
        <v>100083</v>
      </c>
      <c r="E50">
        <v>100098</v>
      </c>
      <c r="F50">
        <v>80086</v>
      </c>
      <c r="G50">
        <v>80068</v>
      </c>
      <c r="H50">
        <v>80072</v>
      </c>
      <c r="I50">
        <v>80071</v>
      </c>
      <c r="J50">
        <v>80071</v>
      </c>
      <c r="K50">
        <v>80071</v>
      </c>
      <c r="L50">
        <f t="shared" ca="1" si="2"/>
        <v>80068</v>
      </c>
      <c r="M50">
        <f t="shared" ca="1" si="3"/>
        <v>0</v>
      </c>
      <c r="N50">
        <f t="shared" ca="1" si="4"/>
        <v>24997.502123195281</v>
      </c>
      <c r="O50">
        <f t="shared" ca="1" si="5"/>
        <v>25016.236199230651</v>
      </c>
      <c r="P50">
        <f t="shared" ca="1" si="6"/>
        <v>22.480891242443921</v>
      </c>
      <c r="Q50">
        <f t="shared" ca="1" si="7"/>
        <v>0</v>
      </c>
      <c r="R50">
        <f t="shared" ca="1" si="8"/>
        <v>4.9957536094319828</v>
      </c>
      <c r="S50">
        <f t="shared" ca="1" si="9"/>
        <v>3.7468152070739871</v>
      </c>
      <c r="T50">
        <f t="shared" ca="1" si="10"/>
        <v>3.7468152070739871</v>
      </c>
      <c r="U50">
        <f t="shared" ca="1" si="11"/>
        <v>3.7468152070739871</v>
      </c>
    </row>
    <row r="51" spans="1:21" x14ac:dyDescent="0.3">
      <c r="A51" t="s">
        <v>60</v>
      </c>
      <c r="B51">
        <v>10</v>
      </c>
      <c r="C51">
        <v>80068</v>
      </c>
      <c r="D51">
        <v>100083</v>
      </c>
      <c r="E51">
        <v>100098</v>
      </c>
      <c r="F51">
        <v>80086</v>
      </c>
      <c r="G51">
        <v>80068</v>
      </c>
      <c r="H51">
        <v>80068</v>
      </c>
      <c r="I51">
        <v>80071</v>
      </c>
      <c r="J51">
        <v>80071</v>
      </c>
      <c r="K51">
        <v>80071</v>
      </c>
      <c r="L51">
        <f t="shared" ca="1" si="2"/>
        <v>80068</v>
      </c>
      <c r="M51">
        <f t="shared" ca="1" si="3"/>
        <v>0</v>
      </c>
      <c r="N51">
        <f t="shared" ca="1" si="4"/>
        <v>24997.502123195281</v>
      </c>
      <c r="O51">
        <f t="shared" ca="1" si="5"/>
        <v>25016.236199230651</v>
      </c>
      <c r="P51">
        <f t="shared" ca="1" si="6"/>
        <v>22.480891242443921</v>
      </c>
      <c r="Q51">
        <f t="shared" ca="1" si="7"/>
        <v>0</v>
      </c>
      <c r="R51">
        <f t="shared" ca="1" si="8"/>
        <v>0</v>
      </c>
      <c r="S51">
        <f t="shared" ca="1" si="9"/>
        <v>3.7468152070739871</v>
      </c>
      <c r="T51">
        <f t="shared" ca="1" si="10"/>
        <v>3.7468152070739871</v>
      </c>
      <c r="U51">
        <f t="shared" ca="1" si="11"/>
        <v>3.7468152070739871</v>
      </c>
    </row>
    <row r="52" spans="1:21" x14ac:dyDescent="0.3">
      <c r="A52" t="s">
        <v>6</v>
      </c>
      <c r="B52">
        <v>1</v>
      </c>
      <c r="C52">
        <v>120073</v>
      </c>
      <c r="D52">
        <v>130065</v>
      </c>
      <c r="E52">
        <v>130113</v>
      </c>
      <c r="F52">
        <v>140085</v>
      </c>
      <c r="G52">
        <v>120075</v>
      </c>
      <c r="H52">
        <v>120073</v>
      </c>
      <c r="I52">
        <v>120075</v>
      </c>
      <c r="J52">
        <v>120075</v>
      </c>
      <c r="K52">
        <v>120075</v>
      </c>
      <c r="L52">
        <f t="shared" ca="1" si="2"/>
        <v>120073</v>
      </c>
      <c r="M52">
        <f t="shared" ca="1" si="3"/>
        <v>0</v>
      </c>
      <c r="N52">
        <f t="shared" ca="1" si="4"/>
        <v>8321.6043573492789</v>
      </c>
      <c r="O52">
        <f t="shared" ca="1" si="5"/>
        <v>8361.5800388097232</v>
      </c>
      <c r="P52">
        <f t="shared" ca="1" si="6"/>
        <v>16666.52786221715</v>
      </c>
      <c r="Q52">
        <f t="shared" ca="1" si="7"/>
        <v>1.6656533941852041</v>
      </c>
      <c r="R52">
        <f t="shared" ca="1" si="8"/>
        <v>0</v>
      </c>
      <c r="S52">
        <f t="shared" ca="1" si="9"/>
        <v>1.6656533941852041</v>
      </c>
      <c r="T52">
        <f t="shared" ca="1" si="10"/>
        <v>1.6656533941852041</v>
      </c>
      <c r="U52">
        <f t="shared" ca="1" si="11"/>
        <v>1.6656533941852041</v>
      </c>
    </row>
    <row r="53" spans="1:21" x14ac:dyDescent="0.3">
      <c r="A53" t="s">
        <v>6</v>
      </c>
      <c r="B53">
        <v>2</v>
      </c>
      <c r="C53">
        <v>120073</v>
      </c>
      <c r="D53">
        <v>130065</v>
      </c>
      <c r="E53">
        <v>130113</v>
      </c>
      <c r="F53">
        <v>140085</v>
      </c>
      <c r="G53">
        <v>120073</v>
      </c>
      <c r="H53">
        <v>120073</v>
      </c>
      <c r="I53">
        <v>120075</v>
      </c>
      <c r="J53">
        <v>120075</v>
      </c>
      <c r="K53">
        <v>120075</v>
      </c>
      <c r="L53">
        <f t="shared" ca="1" si="2"/>
        <v>120073</v>
      </c>
      <c r="M53">
        <f t="shared" ca="1" si="3"/>
        <v>0</v>
      </c>
      <c r="N53">
        <f t="shared" ca="1" si="4"/>
        <v>8321.6043573492789</v>
      </c>
      <c r="O53">
        <f t="shared" ca="1" si="5"/>
        <v>8361.5800388097232</v>
      </c>
      <c r="P53">
        <f t="shared" ca="1" si="6"/>
        <v>16666.52786221715</v>
      </c>
      <c r="Q53">
        <f t="shared" ca="1" si="7"/>
        <v>0</v>
      </c>
      <c r="R53">
        <f t="shared" ca="1" si="8"/>
        <v>0</v>
      </c>
      <c r="S53">
        <f t="shared" ca="1" si="9"/>
        <v>1.6656533941852041</v>
      </c>
      <c r="T53">
        <f t="shared" ca="1" si="10"/>
        <v>1.6656533941852041</v>
      </c>
      <c r="U53">
        <f t="shared" ca="1" si="11"/>
        <v>1.6656533941852041</v>
      </c>
    </row>
    <row r="54" spans="1:21" x14ac:dyDescent="0.3">
      <c r="A54" t="s">
        <v>45</v>
      </c>
      <c r="B54">
        <v>3</v>
      </c>
      <c r="C54">
        <v>120073</v>
      </c>
      <c r="D54">
        <v>130065</v>
      </c>
      <c r="E54">
        <v>130113</v>
      </c>
      <c r="F54">
        <v>140085</v>
      </c>
      <c r="G54">
        <v>120075</v>
      </c>
      <c r="H54">
        <v>120075</v>
      </c>
      <c r="I54">
        <v>120075</v>
      </c>
      <c r="J54">
        <v>120075</v>
      </c>
      <c r="K54">
        <v>120075</v>
      </c>
      <c r="L54">
        <f t="shared" ca="1" si="2"/>
        <v>120073</v>
      </c>
      <c r="M54">
        <f t="shared" ca="1" si="3"/>
        <v>0</v>
      </c>
      <c r="N54">
        <f t="shared" ca="1" si="4"/>
        <v>8321.6043573492789</v>
      </c>
      <c r="O54">
        <f t="shared" ca="1" si="5"/>
        <v>8361.5800388097232</v>
      </c>
      <c r="P54">
        <f t="shared" ca="1" si="6"/>
        <v>16666.52786221715</v>
      </c>
      <c r="Q54">
        <f t="shared" ca="1" si="7"/>
        <v>1.6656533941852041</v>
      </c>
      <c r="R54">
        <f t="shared" ca="1" si="8"/>
        <v>1.6656533941852041</v>
      </c>
      <c r="S54">
        <f t="shared" ca="1" si="9"/>
        <v>1.6656533941852041</v>
      </c>
      <c r="T54">
        <f t="shared" ca="1" si="10"/>
        <v>1.6656533941852041</v>
      </c>
      <c r="U54">
        <f t="shared" ca="1" si="11"/>
        <v>1.6656533941852041</v>
      </c>
    </row>
    <row r="55" spans="1:21" x14ac:dyDescent="0.3">
      <c r="A55" t="s">
        <v>45</v>
      </c>
      <c r="B55">
        <v>4</v>
      </c>
      <c r="C55">
        <v>120073</v>
      </c>
      <c r="D55">
        <v>130065</v>
      </c>
      <c r="E55">
        <v>130113</v>
      </c>
      <c r="F55">
        <v>140085</v>
      </c>
      <c r="G55">
        <v>120073</v>
      </c>
      <c r="H55">
        <v>120073</v>
      </c>
      <c r="I55">
        <v>120075</v>
      </c>
      <c r="J55">
        <v>120075</v>
      </c>
      <c r="K55">
        <v>120075</v>
      </c>
      <c r="L55">
        <f t="shared" ca="1" si="2"/>
        <v>120073</v>
      </c>
      <c r="M55">
        <f t="shared" ca="1" si="3"/>
        <v>0</v>
      </c>
      <c r="N55">
        <f t="shared" ca="1" si="4"/>
        <v>8321.6043573492789</v>
      </c>
      <c r="O55">
        <f t="shared" ca="1" si="5"/>
        <v>8361.5800388097232</v>
      </c>
      <c r="P55">
        <f t="shared" ca="1" si="6"/>
        <v>16666.52786221715</v>
      </c>
      <c r="Q55">
        <f t="shared" ca="1" si="7"/>
        <v>0</v>
      </c>
      <c r="R55">
        <f t="shared" ca="1" si="8"/>
        <v>0</v>
      </c>
      <c r="S55">
        <f t="shared" ca="1" si="9"/>
        <v>1.6656533941852041</v>
      </c>
      <c r="T55">
        <f t="shared" ca="1" si="10"/>
        <v>1.6656533941852041</v>
      </c>
      <c r="U55">
        <f t="shared" ca="1" si="11"/>
        <v>1.6656533941852041</v>
      </c>
    </row>
    <row r="56" spans="1:21" x14ac:dyDescent="0.3">
      <c r="A56" t="s">
        <v>45</v>
      </c>
      <c r="B56">
        <v>5</v>
      </c>
      <c r="C56">
        <v>120073</v>
      </c>
      <c r="D56">
        <v>130065</v>
      </c>
      <c r="E56">
        <v>130113</v>
      </c>
      <c r="F56">
        <v>140085</v>
      </c>
      <c r="G56">
        <v>120075</v>
      </c>
      <c r="H56">
        <v>120073</v>
      </c>
      <c r="I56">
        <v>120075</v>
      </c>
      <c r="J56">
        <v>120075</v>
      </c>
      <c r="K56">
        <v>120075</v>
      </c>
      <c r="L56">
        <f t="shared" ca="1" si="2"/>
        <v>120073</v>
      </c>
      <c r="M56">
        <f t="shared" ca="1" si="3"/>
        <v>0</v>
      </c>
      <c r="N56">
        <f t="shared" ca="1" si="4"/>
        <v>8321.6043573492789</v>
      </c>
      <c r="O56">
        <f t="shared" ca="1" si="5"/>
        <v>8361.5800388097232</v>
      </c>
      <c r="P56">
        <f t="shared" ca="1" si="6"/>
        <v>16666.52786221715</v>
      </c>
      <c r="Q56">
        <f t="shared" ca="1" si="7"/>
        <v>1.6656533941852041</v>
      </c>
      <c r="R56">
        <f t="shared" ca="1" si="8"/>
        <v>0</v>
      </c>
      <c r="S56">
        <f t="shared" ca="1" si="9"/>
        <v>1.6656533941852041</v>
      </c>
      <c r="T56">
        <f t="shared" ca="1" si="10"/>
        <v>1.6656533941852041</v>
      </c>
      <c r="U56">
        <f t="shared" ca="1" si="11"/>
        <v>1.6656533941852041</v>
      </c>
    </row>
    <row r="57" spans="1:21" x14ac:dyDescent="0.3">
      <c r="A57" t="s">
        <v>45</v>
      </c>
      <c r="B57">
        <v>6</v>
      </c>
      <c r="C57">
        <v>120075</v>
      </c>
      <c r="D57">
        <v>130065</v>
      </c>
      <c r="E57">
        <v>130113</v>
      </c>
      <c r="F57">
        <v>140085</v>
      </c>
      <c r="G57">
        <v>120073</v>
      </c>
      <c r="H57">
        <v>120073</v>
      </c>
      <c r="I57">
        <v>120075</v>
      </c>
      <c r="J57">
        <v>120075</v>
      </c>
      <c r="K57">
        <v>120075</v>
      </c>
      <c r="L57">
        <f t="shared" ca="1" si="2"/>
        <v>120073</v>
      </c>
      <c r="M57">
        <f t="shared" ca="1" si="3"/>
        <v>1.6656533941852041</v>
      </c>
      <c r="N57">
        <f t="shared" ca="1" si="4"/>
        <v>8321.6043573492789</v>
      </c>
      <c r="O57">
        <f t="shared" ca="1" si="5"/>
        <v>8361.5800388097232</v>
      </c>
      <c r="P57">
        <f t="shared" ca="1" si="6"/>
        <v>16666.52786221715</v>
      </c>
      <c r="Q57">
        <f t="shared" ca="1" si="7"/>
        <v>0</v>
      </c>
      <c r="R57">
        <f t="shared" ca="1" si="8"/>
        <v>0</v>
      </c>
      <c r="S57">
        <f t="shared" ca="1" si="9"/>
        <v>1.6656533941852041</v>
      </c>
      <c r="T57">
        <f t="shared" ca="1" si="10"/>
        <v>1.6656533941852041</v>
      </c>
      <c r="U57">
        <f t="shared" ca="1" si="11"/>
        <v>1.6656533941852041</v>
      </c>
    </row>
    <row r="58" spans="1:21" x14ac:dyDescent="0.3">
      <c r="A58" t="s">
        <v>45</v>
      </c>
      <c r="B58">
        <v>7</v>
      </c>
      <c r="C58">
        <v>120073</v>
      </c>
      <c r="D58">
        <v>130065</v>
      </c>
      <c r="E58">
        <v>130113</v>
      </c>
      <c r="F58">
        <v>140085</v>
      </c>
      <c r="G58">
        <v>120075</v>
      </c>
      <c r="H58">
        <v>120073</v>
      </c>
      <c r="I58">
        <v>120075</v>
      </c>
      <c r="J58">
        <v>120075</v>
      </c>
      <c r="K58">
        <v>120075</v>
      </c>
      <c r="L58">
        <f t="shared" ca="1" si="2"/>
        <v>120073</v>
      </c>
      <c r="M58">
        <f t="shared" ca="1" si="3"/>
        <v>0</v>
      </c>
      <c r="N58">
        <f t="shared" ca="1" si="4"/>
        <v>8321.6043573492789</v>
      </c>
      <c r="O58">
        <f t="shared" ca="1" si="5"/>
        <v>8361.5800388097232</v>
      </c>
      <c r="P58">
        <f t="shared" ca="1" si="6"/>
        <v>16666.52786221715</v>
      </c>
      <c r="Q58">
        <f t="shared" ca="1" si="7"/>
        <v>1.6656533941852041</v>
      </c>
      <c r="R58">
        <f t="shared" ca="1" si="8"/>
        <v>0</v>
      </c>
      <c r="S58">
        <f t="shared" ca="1" si="9"/>
        <v>1.6656533941852041</v>
      </c>
      <c r="T58">
        <f t="shared" ca="1" si="10"/>
        <v>1.6656533941852041</v>
      </c>
      <c r="U58">
        <f t="shared" ca="1" si="11"/>
        <v>1.6656533941852041</v>
      </c>
    </row>
    <row r="59" spans="1:21" x14ac:dyDescent="0.3">
      <c r="A59" t="s">
        <v>45</v>
      </c>
      <c r="B59">
        <v>8</v>
      </c>
      <c r="C59">
        <v>120073</v>
      </c>
      <c r="D59">
        <v>130065</v>
      </c>
      <c r="E59">
        <v>130113</v>
      </c>
      <c r="F59">
        <v>140085</v>
      </c>
      <c r="G59">
        <v>120073</v>
      </c>
      <c r="H59">
        <v>120075</v>
      </c>
      <c r="I59">
        <v>120075</v>
      </c>
      <c r="J59">
        <v>120075</v>
      </c>
      <c r="K59">
        <v>120075</v>
      </c>
      <c r="L59">
        <f t="shared" ca="1" si="2"/>
        <v>120073</v>
      </c>
      <c r="M59">
        <f t="shared" ca="1" si="3"/>
        <v>0</v>
      </c>
      <c r="N59">
        <f t="shared" ca="1" si="4"/>
        <v>8321.6043573492789</v>
      </c>
      <c r="O59">
        <f t="shared" ca="1" si="5"/>
        <v>8361.5800388097232</v>
      </c>
      <c r="P59">
        <f t="shared" ca="1" si="6"/>
        <v>16666.52786221715</v>
      </c>
      <c r="Q59">
        <f t="shared" ca="1" si="7"/>
        <v>0</v>
      </c>
      <c r="R59">
        <f t="shared" ca="1" si="8"/>
        <v>1.6656533941852041</v>
      </c>
      <c r="S59">
        <f t="shared" ca="1" si="9"/>
        <v>1.6656533941852041</v>
      </c>
      <c r="T59">
        <f t="shared" ca="1" si="10"/>
        <v>1.6656533941852041</v>
      </c>
      <c r="U59">
        <f t="shared" ca="1" si="11"/>
        <v>1.6656533941852041</v>
      </c>
    </row>
    <row r="60" spans="1:21" x14ac:dyDescent="0.3">
      <c r="A60" t="s">
        <v>45</v>
      </c>
      <c r="B60">
        <v>9</v>
      </c>
      <c r="C60">
        <v>120073</v>
      </c>
      <c r="D60">
        <v>130065</v>
      </c>
      <c r="E60">
        <v>130113</v>
      </c>
      <c r="F60">
        <v>140085</v>
      </c>
      <c r="G60">
        <v>120073</v>
      </c>
      <c r="H60">
        <v>120073</v>
      </c>
      <c r="I60">
        <v>120075</v>
      </c>
      <c r="J60">
        <v>120075</v>
      </c>
      <c r="K60">
        <v>120075</v>
      </c>
      <c r="L60">
        <f t="shared" ca="1" si="2"/>
        <v>120073</v>
      </c>
      <c r="M60">
        <f t="shared" ca="1" si="3"/>
        <v>0</v>
      </c>
      <c r="N60">
        <f t="shared" ca="1" si="4"/>
        <v>8321.6043573492789</v>
      </c>
      <c r="O60">
        <f t="shared" ca="1" si="5"/>
        <v>8361.5800388097232</v>
      </c>
      <c r="P60">
        <f t="shared" ca="1" si="6"/>
        <v>16666.52786221715</v>
      </c>
      <c r="Q60">
        <f t="shared" ca="1" si="7"/>
        <v>0</v>
      </c>
      <c r="R60">
        <f t="shared" ca="1" si="8"/>
        <v>0</v>
      </c>
      <c r="S60">
        <f t="shared" ca="1" si="9"/>
        <v>1.6656533941852041</v>
      </c>
      <c r="T60">
        <f t="shared" ca="1" si="10"/>
        <v>1.6656533941852041</v>
      </c>
      <c r="U60">
        <f t="shared" ca="1" si="11"/>
        <v>1.6656533941852041</v>
      </c>
    </row>
    <row r="61" spans="1:21" x14ac:dyDescent="0.3">
      <c r="A61" t="s">
        <v>45</v>
      </c>
      <c r="B61">
        <v>10</v>
      </c>
      <c r="C61">
        <v>120075</v>
      </c>
      <c r="D61">
        <v>130065</v>
      </c>
      <c r="E61">
        <v>130113</v>
      </c>
      <c r="F61">
        <v>140085</v>
      </c>
      <c r="G61">
        <v>120075</v>
      </c>
      <c r="H61">
        <v>120073</v>
      </c>
      <c r="I61">
        <v>120075</v>
      </c>
      <c r="J61">
        <v>120075</v>
      </c>
      <c r="K61">
        <v>120075</v>
      </c>
      <c r="L61">
        <f t="shared" ca="1" si="2"/>
        <v>120073</v>
      </c>
      <c r="M61">
        <f t="shared" ca="1" si="3"/>
        <v>1.6656533941852041</v>
      </c>
      <c r="N61">
        <f t="shared" ca="1" si="4"/>
        <v>8321.6043573492789</v>
      </c>
      <c r="O61">
        <f t="shared" ca="1" si="5"/>
        <v>8361.5800388097232</v>
      </c>
      <c r="P61">
        <f t="shared" ca="1" si="6"/>
        <v>16666.52786221715</v>
      </c>
      <c r="Q61">
        <f t="shared" ca="1" si="7"/>
        <v>1.6656533941852041</v>
      </c>
      <c r="R61">
        <f t="shared" ca="1" si="8"/>
        <v>0</v>
      </c>
      <c r="S61">
        <f t="shared" ca="1" si="9"/>
        <v>1.6656533941852041</v>
      </c>
      <c r="T61">
        <f t="shared" ca="1" si="10"/>
        <v>1.6656533941852041</v>
      </c>
      <c r="U61">
        <f t="shared" ca="1" si="11"/>
        <v>1.6656533941852041</v>
      </c>
    </row>
    <row r="62" spans="1:21" x14ac:dyDescent="0.3">
      <c r="A62" t="s">
        <v>1</v>
      </c>
      <c r="B62">
        <v>1</v>
      </c>
      <c r="C62">
        <v>120069</v>
      </c>
      <c r="D62">
        <v>140077</v>
      </c>
      <c r="E62">
        <v>120085</v>
      </c>
      <c r="F62">
        <v>120089</v>
      </c>
      <c r="G62">
        <v>120069</v>
      </c>
      <c r="H62">
        <v>120069</v>
      </c>
      <c r="I62">
        <v>120071</v>
      </c>
      <c r="J62">
        <v>120071</v>
      </c>
      <c r="K62">
        <v>120071</v>
      </c>
      <c r="L62">
        <f t="shared" ca="1" si="2"/>
        <v>120069</v>
      </c>
      <c r="M62">
        <f t="shared" ca="1" si="3"/>
        <v>0</v>
      </c>
      <c r="N62">
        <f t="shared" ca="1" si="4"/>
        <v>16663.751676119562</v>
      </c>
      <c r="O62">
        <f t="shared" ca="1" si="5"/>
        <v>13.325671072466665</v>
      </c>
      <c r="P62">
        <f t="shared" ca="1" si="6"/>
        <v>16.657088840583331</v>
      </c>
      <c r="Q62">
        <f t="shared" ca="1" si="7"/>
        <v>0</v>
      </c>
      <c r="R62">
        <f t="shared" ca="1" si="8"/>
        <v>0</v>
      </c>
      <c r="S62">
        <f t="shared" ca="1" si="9"/>
        <v>1.6657088840583332</v>
      </c>
      <c r="T62">
        <f t="shared" ca="1" si="10"/>
        <v>1.6657088840583332</v>
      </c>
      <c r="U62">
        <f t="shared" ca="1" si="11"/>
        <v>1.6657088840583332</v>
      </c>
    </row>
    <row r="63" spans="1:21" x14ac:dyDescent="0.3">
      <c r="A63" t="s">
        <v>1</v>
      </c>
      <c r="B63">
        <v>2</v>
      </c>
      <c r="C63">
        <v>120069</v>
      </c>
      <c r="D63">
        <v>140077</v>
      </c>
      <c r="E63">
        <v>120085</v>
      </c>
      <c r="F63">
        <v>120089</v>
      </c>
      <c r="G63">
        <v>120069</v>
      </c>
      <c r="H63">
        <v>120069</v>
      </c>
      <c r="I63">
        <v>120071</v>
      </c>
      <c r="J63">
        <v>120071</v>
      </c>
      <c r="K63">
        <v>120072</v>
      </c>
      <c r="L63">
        <f t="shared" ca="1" si="2"/>
        <v>120069</v>
      </c>
      <c r="M63">
        <f t="shared" ca="1" si="3"/>
        <v>0</v>
      </c>
      <c r="N63">
        <f t="shared" ca="1" si="4"/>
        <v>16663.751676119562</v>
      </c>
      <c r="O63">
        <f t="shared" ca="1" si="5"/>
        <v>13.325671072466665</v>
      </c>
      <c r="P63">
        <f t="shared" ca="1" si="6"/>
        <v>16.657088840583331</v>
      </c>
      <c r="Q63">
        <f t="shared" ca="1" si="7"/>
        <v>0</v>
      </c>
      <c r="R63">
        <f t="shared" ca="1" si="8"/>
        <v>0</v>
      </c>
      <c r="S63">
        <f t="shared" ca="1" si="9"/>
        <v>1.6657088840583332</v>
      </c>
      <c r="T63">
        <f t="shared" ca="1" si="10"/>
        <v>1.6657088840583332</v>
      </c>
      <c r="U63">
        <f t="shared" ca="1" si="11"/>
        <v>2.4985633260875</v>
      </c>
    </row>
    <row r="64" spans="1:21" x14ac:dyDescent="0.3">
      <c r="A64" t="s">
        <v>46</v>
      </c>
      <c r="B64">
        <v>3</v>
      </c>
      <c r="C64">
        <v>120069</v>
      </c>
      <c r="D64">
        <v>140077</v>
      </c>
      <c r="E64">
        <v>120085</v>
      </c>
      <c r="F64">
        <v>120089</v>
      </c>
      <c r="G64">
        <v>120069</v>
      </c>
      <c r="H64">
        <v>120069</v>
      </c>
      <c r="I64">
        <v>120071</v>
      </c>
      <c r="J64">
        <v>120071</v>
      </c>
      <c r="K64">
        <v>120071</v>
      </c>
      <c r="L64">
        <f t="shared" ca="1" si="2"/>
        <v>120069</v>
      </c>
      <c r="M64">
        <f t="shared" ca="1" si="3"/>
        <v>0</v>
      </c>
      <c r="N64">
        <f t="shared" ca="1" si="4"/>
        <v>16663.751676119562</v>
      </c>
      <c r="O64">
        <f t="shared" ca="1" si="5"/>
        <v>13.325671072466665</v>
      </c>
      <c r="P64">
        <f t="shared" ca="1" si="6"/>
        <v>16.657088840583331</v>
      </c>
      <c r="Q64">
        <f t="shared" ca="1" si="7"/>
        <v>0</v>
      </c>
      <c r="R64">
        <f t="shared" ca="1" si="8"/>
        <v>0</v>
      </c>
      <c r="S64">
        <f t="shared" ca="1" si="9"/>
        <v>1.6657088840583332</v>
      </c>
      <c r="T64">
        <f t="shared" ca="1" si="10"/>
        <v>1.6657088840583332</v>
      </c>
      <c r="U64">
        <f t="shared" ca="1" si="11"/>
        <v>1.6657088840583332</v>
      </c>
    </row>
    <row r="65" spans="1:21" x14ac:dyDescent="0.3">
      <c r="A65" t="s">
        <v>46</v>
      </c>
      <c r="B65">
        <v>4</v>
      </c>
      <c r="C65">
        <v>120069</v>
      </c>
      <c r="D65">
        <v>140077</v>
      </c>
      <c r="E65">
        <v>120085</v>
      </c>
      <c r="F65">
        <v>120089</v>
      </c>
      <c r="G65">
        <v>120069</v>
      </c>
      <c r="H65">
        <v>120069</v>
      </c>
      <c r="I65">
        <v>120071</v>
      </c>
      <c r="J65">
        <v>120071</v>
      </c>
      <c r="K65">
        <v>120071</v>
      </c>
      <c r="L65">
        <f t="shared" ca="1" si="2"/>
        <v>120069</v>
      </c>
      <c r="M65">
        <f t="shared" ca="1" si="3"/>
        <v>0</v>
      </c>
      <c r="N65">
        <f t="shared" ca="1" si="4"/>
        <v>16663.751676119562</v>
      </c>
      <c r="O65">
        <f t="shared" ca="1" si="5"/>
        <v>13.325671072466665</v>
      </c>
      <c r="P65">
        <f t="shared" ca="1" si="6"/>
        <v>16.657088840583331</v>
      </c>
      <c r="Q65">
        <f t="shared" ca="1" si="7"/>
        <v>0</v>
      </c>
      <c r="R65">
        <f t="shared" ca="1" si="8"/>
        <v>0</v>
      </c>
      <c r="S65">
        <f t="shared" ca="1" si="9"/>
        <v>1.6657088840583332</v>
      </c>
      <c r="T65">
        <f t="shared" ca="1" si="10"/>
        <v>1.6657088840583332</v>
      </c>
      <c r="U65">
        <f t="shared" ca="1" si="11"/>
        <v>1.6657088840583332</v>
      </c>
    </row>
    <row r="66" spans="1:21" x14ac:dyDescent="0.3">
      <c r="A66" t="s">
        <v>46</v>
      </c>
      <c r="B66">
        <v>5</v>
      </c>
      <c r="C66">
        <v>120069</v>
      </c>
      <c r="D66">
        <v>140077</v>
      </c>
      <c r="E66">
        <v>120085</v>
      </c>
      <c r="F66">
        <v>120089</v>
      </c>
      <c r="G66">
        <v>120069</v>
      </c>
      <c r="H66">
        <v>120069</v>
      </c>
      <c r="I66">
        <v>120071</v>
      </c>
      <c r="J66">
        <v>120071</v>
      </c>
      <c r="K66">
        <v>120071</v>
      </c>
      <c r="L66">
        <f t="shared" ca="1" si="2"/>
        <v>120069</v>
      </c>
      <c r="M66">
        <f t="shared" ca="1" si="3"/>
        <v>0</v>
      </c>
      <c r="N66">
        <f t="shared" ca="1" si="4"/>
        <v>16663.751676119562</v>
      </c>
      <c r="O66">
        <f t="shared" ca="1" si="5"/>
        <v>13.325671072466665</v>
      </c>
      <c r="P66">
        <f t="shared" ca="1" si="6"/>
        <v>16.657088840583331</v>
      </c>
      <c r="Q66">
        <f t="shared" ca="1" si="7"/>
        <v>0</v>
      </c>
      <c r="R66">
        <f t="shared" ca="1" si="8"/>
        <v>0</v>
      </c>
      <c r="S66">
        <f t="shared" ca="1" si="9"/>
        <v>1.6657088840583332</v>
      </c>
      <c r="T66">
        <f t="shared" ca="1" si="10"/>
        <v>1.6657088840583332</v>
      </c>
      <c r="U66">
        <f t="shared" ca="1" si="11"/>
        <v>1.6657088840583332</v>
      </c>
    </row>
    <row r="67" spans="1:21" x14ac:dyDescent="0.3">
      <c r="A67" t="s">
        <v>46</v>
      </c>
      <c r="B67">
        <v>6</v>
      </c>
      <c r="C67">
        <v>120069</v>
      </c>
      <c r="D67">
        <v>140077</v>
      </c>
      <c r="E67">
        <v>120085</v>
      </c>
      <c r="F67">
        <v>120089</v>
      </c>
      <c r="G67">
        <v>120069</v>
      </c>
      <c r="H67">
        <v>120069</v>
      </c>
      <c r="I67">
        <v>120071</v>
      </c>
      <c r="J67">
        <v>120071</v>
      </c>
      <c r="K67">
        <v>120071</v>
      </c>
      <c r="L67">
        <f t="shared" ref="L67:L130" ca="1" si="30">MIN(INDIRECT("C" &amp; (10*INT((ROW()-2)/10)+2) &amp; ":K" &amp; (10*INT((ROW()-2)/10)+11)))</f>
        <v>120069</v>
      </c>
      <c r="M67">
        <f t="shared" ref="M67:M130" ca="1" si="31">(C67-$L67)/$L67*100*1000</f>
        <v>0</v>
      </c>
      <c r="N67">
        <f t="shared" ref="N67:N130" ca="1" si="32">(D67-$L67)/$L67*100*1000</f>
        <v>16663.751676119562</v>
      </c>
      <c r="O67">
        <f t="shared" ref="O67:O130" ca="1" si="33">(E67-$L67)/$L67*100*1000</f>
        <v>13.325671072466665</v>
      </c>
      <c r="P67">
        <f t="shared" ref="P67:P130" ca="1" si="34">(F67-$L67)/$L67*100*1000</f>
        <v>16.657088840583331</v>
      </c>
      <c r="Q67">
        <f t="shared" ref="Q67:Q130" ca="1" si="35">(G67-$L67)/$L67*100*1000</f>
        <v>0</v>
      </c>
      <c r="R67">
        <f t="shared" ref="R67:R130" ca="1" si="36">(H67-$L67)/$L67*100*1000</f>
        <v>0</v>
      </c>
      <c r="S67">
        <f t="shared" ref="S67:S130" ca="1" si="37">(I67-$L67)/$L67*100*1000</f>
        <v>1.6657088840583332</v>
      </c>
      <c r="T67">
        <f t="shared" ref="T67:T130" ca="1" si="38">(J67-$L67)/$L67*100*1000</f>
        <v>1.6657088840583332</v>
      </c>
      <c r="U67">
        <f t="shared" ref="U67:U130" ca="1" si="39">(K67-$L67)/$L67*100*1000</f>
        <v>1.6657088840583332</v>
      </c>
    </row>
    <row r="68" spans="1:21" x14ac:dyDescent="0.3">
      <c r="A68" t="s">
        <v>46</v>
      </c>
      <c r="B68">
        <v>7</v>
      </c>
      <c r="C68">
        <v>120069</v>
      </c>
      <c r="D68">
        <v>140077</v>
      </c>
      <c r="E68">
        <v>120085</v>
      </c>
      <c r="F68">
        <v>120089</v>
      </c>
      <c r="G68">
        <v>120069</v>
      </c>
      <c r="H68">
        <v>120069</v>
      </c>
      <c r="I68">
        <v>120071</v>
      </c>
      <c r="J68">
        <v>120071</v>
      </c>
      <c r="K68">
        <v>120071</v>
      </c>
      <c r="L68">
        <f t="shared" ca="1" si="30"/>
        <v>120069</v>
      </c>
      <c r="M68">
        <f t="shared" ca="1" si="31"/>
        <v>0</v>
      </c>
      <c r="N68">
        <f t="shared" ca="1" si="32"/>
        <v>16663.751676119562</v>
      </c>
      <c r="O68">
        <f t="shared" ca="1" si="33"/>
        <v>13.325671072466665</v>
      </c>
      <c r="P68">
        <f t="shared" ca="1" si="34"/>
        <v>16.657088840583331</v>
      </c>
      <c r="Q68">
        <f t="shared" ca="1" si="35"/>
        <v>0</v>
      </c>
      <c r="R68">
        <f t="shared" ca="1" si="36"/>
        <v>0</v>
      </c>
      <c r="S68">
        <f t="shared" ca="1" si="37"/>
        <v>1.6657088840583332</v>
      </c>
      <c r="T68">
        <f t="shared" ca="1" si="38"/>
        <v>1.6657088840583332</v>
      </c>
      <c r="U68">
        <f t="shared" ca="1" si="39"/>
        <v>1.6657088840583332</v>
      </c>
    </row>
    <row r="69" spans="1:21" x14ac:dyDescent="0.3">
      <c r="A69" t="s">
        <v>46</v>
      </c>
      <c r="B69">
        <v>8</v>
      </c>
      <c r="C69">
        <v>120069</v>
      </c>
      <c r="D69">
        <v>140077</v>
      </c>
      <c r="E69">
        <v>120085</v>
      </c>
      <c r="F69">
        <v>120089</v>
      </c>
      <c r="G69">
        <v>120069</v>
      </c>
      <c r="H69">
        <v>120069</v>
      </c>
      <c r="I69">
        <v>120071</v>
      </c>
      <c r="J69">
        <v>120071</v>
      </c>
      <c r="K69">
        <v>120071</v>
      </c>
      <c r="L69">
        <f t="shared" ca="1" si="30"/>
        <v>120069</v>
      </c>
      <c r="M69">
        <f t="shared" ca="1" si="31"/>
        <v>0</v>
      </c>
      <c r="N69">
        <f t="shared" ca="1" si="32"/>
        <v>16663.751676119562</v>
      </c>
      <c r="O69">
        <f t="shared" ca="1" si="33"/>
        <v>13.325671072466665</v>
      </c>
      <c r="P69">
        <f t="shared" ca="1" si="34"/>
        <v>16.657088840583331</v>
      </c>
      <c r="Q69">
        <f t="shared" ca="1" si="35"/>
        <v>0</v>
      </c>
      <c r="R69">
        <f t="shared" ca="1" si="36"/>
        <v>0</v>
      </c>
      <c r="S69">
        <f t="shared" ca="1" si="37"/>
        <v>1.6657088840583332</v>
      </c>
      <c r="T69">
        <f t="shared" ca="1" si="38"/>
        <v>1.6657088840583332</v>
      </c>
      <c r="U69">
        <f t="shared" ca="1" si="39"/>
        <v>1.6657088840583332</v>
      </c>
    </row>
    <row r="70" spans="1:21" x14ac:dyDescent="0.3">
      <c r="A70" t="s">
        <v>46</v>
      </c>
      <c r="B70">
        <v>9</v>
      </c>
      <c r="C70">
        <v>120069</v>
      </c>
      <c r="D70">
        <v>140077</v>
      </c>
      <c r="E70">
        <v>120085</v>
      </c>
      <c r="F70">
        <v>120089</v>
      </c>
      <c r="G70">
        <v>120069</v>
      </c>
      <c r="H70">
        <v>120069</v>
      </c>
      <c r="I70">
        <v>120071</v>
      </c>
      <c r="J70">
        <v>120071</v>
      </c>
      <c r="K70">
        <v>120071</v>
      </c>
      <c r="L70">
        <f t="shared" ca="1" si="30"/>
        <v>120069</v>
      </c>
      <c r="M70">
        <f t="shared" ca="1" si="31"/>
        <v>0</v>
      </c>
      <c r="N70">
        <f t="shared" ca="1" si="32"/>
        <v>16663.751676119562</v>
      </c>
      <c r="O70">
        <f t="shared" ca="1" si="33"/>
        <v>13.325671072466665</v>
      </c>
      <c r="P70">
        <f t="shared" ca="1" si="34"/>
        <v>16.657088840583331</v>
      </c>
      <c r="Q70">
        <f t="shared" ca="1" si="35"/>
        <v>0</v>
      </c>
      <c r="R70">
        <f t="shared" ca="1" si="36"/>
        <v>0</v>
      </c>
      <c r="S70">
        <f t="shared" ca="1" si="37"/>
        <v>1.6657088840583332</v>
      </c>
      <c r="T70">
        <f t="shared" ca="1" si="38"/>
        <v>1.6657088840583332</v>
      </c>
      <c r="U70">
        <f t="shared" ca="1" si="39"/>
        <v>1.6657088840583332</v>
      </c>
    </row>
    <row r="71" spans="1:21" x14ac:dyDescent="0.3">
      <c r="A71" t="s">
        <v>46</v>
      </c>
      <c r="B71">
        <v>10</v>
      </c>
      <c r="C71">
        <v>120069</v>
      </c>
      <c r="D71">
        <v>140077</v>
      </c>
      <c r="E71">
        <v>120085</v>
      </c>
      <c r="F71">
        <v>120089</v>
      </c>
      <c r="G71">
        <v>120069</v>
      </c>
      <c r="H71">
        <v>120069</v>
      </c>
      <c r="I71">
        <v>120071</v>
      </c>
      <c r="J71">
        <v>120072</v>
      </c>
      <c r="K71">
        <v>120072</v>
      </c>
      <c r="L71">
        <f t="shared" ca="1" si="30"/>
        <v>120069</v>
      </c>
      <c r="M71">
        <f t="shared" ca="1" si="31"/>
        <v>0</v>
      </c>
      <c r="N71">
        <f t="shared" ca="1" si="32"/>
        <v>16663.751676119562</v>
      </c>
      <c r="O71">
        <f t="shared" ca="1" si="33"/>
        <v>13.325671072466665</v>
      </c>
      <c r="P71">
        <f t="shared" ca="1" si="34"/>
        <v>16.657088840583331</v>
      </c>
      <c r="Q71">
        <f t="shared" ca="1" si="35"/>
        <v>0</v>
      </c>
      <c r="R71">
        <f t="shared" ca="1" si="36"/>
        <v>0</v>
      </c>
      <c r="S71">
        <f t="shared" ca="1" si="37"/>
        <v>1.6657088840583332</v>
      </c>
      <c r="T71">
        <f t="shared" ca="1" si="38"/>
        <v>2.4985633260875</v>
      </c>
      <c r="U71">
        <f t="shared" ca="1" si="39"/>
        <v>2.4985633260875</v>
      </c>
    </row>
    <row r="72" spans="1:21" x14ac:dyDescent="0.3">
      <c r="A72" t="s">
        <v>7</v>
      </c>
      <c r="B72">
        <v>1</v>
      </c>
      <c r="C72">
        <v>150094</v>
      </c>
      <c r="D72">
        <v>160128</v>
      </c>
      <c r="E72">
        <v>160125</v>
      </c>
      <c r="F72">
        <v>150108</v>
      </c>
      <c r="G72">
        <v>150094</v>
      </c>
      <c r="H72">
        <v>150096</v>
      </c>
      <c r="I72">
        <v>150099</v>
      </c>
      <c r="J72">
        <v>150099</v>
      </c>
      <c r="K72">
        <v>150099</v>
      </c>
      <c r="L72">
        <f t="shared" ca="1" si="30"/>
        <v>150094</v>
      </c>
      <c r="M72">
        <f t="shared" ca="1" si="31"/>
        <v>0</v>
      </c>
      <c r="N72">
        <f t="shared" ca="1" si="32"/>
        <v>6685.143976441429</v>
      </c>
      <c r="O72">
        <f t="shared" ca="1" si="33"/>
        <v>6683.1452289898334</v>
      </c>
      <c r="P72">
        <f t="shared" ca="1" si="34"/>
        <v>9.3274881074526625</v>
      </c>
      <c r="Q72">
        <f t="shared" ca="1" si="35"/>
        <v>0</v>
      </c>
      <c r="R72">
        <f t="shared" ca="1" si="36"/>
        <v>1.332498301064666</v>
      </c>
      <c r="S72">
        <f t="shared" ca="1" si="37"/>
        <v>3.3312457526616654</v>
      </c>
      <c r="T72">
        <f t="shared" ca="1" si="38"/>
        <v>3.3312457526616654</v>
      </c>
      <c r="U72">
        <f t="shared" ca="1" si="39"/>
        <v>3.3312457526616654</v>
      </c>
    </row>
    <row r="73" spans="1:21" x14ac:dyDescent="0.3">
      <c r="A73" t="s">
        <v>7</v>
      </c>
      <c r="B73">
        <v>2</v>
      </c>
      <c r="C73">
        <v>150094</v>
      </c>
      <c r="D73">
        <v>160128</v>
      </c>
      <c r="E73">
        <v>160125</v>
      </c>
      <c r="F73">
        <v>150108</v>
      </c>
      <c r="G73">
        <v>150094</v>
      </c>
      <c r="H73">
        <v>150096</v>
      </c>
      <c r="I73">
        <v>150099</v>
      </c>
      <c r="J73">
        <v>150099</v>
      </c>
      <c r="K73">
        <v>150099</v>
      </c>
      <c r="L73">
        <f t="shared" ca="1" si="30"/>
        <v>150094</v>
      </c>
      <c r="M73">
        <f t="shared" ca="1" si="31"/>
        <v>0</v>
      </c>
      <c r="N73">
        <f t="shared" ca="1" si="32"/>
        <v>6685.143976441429</v>
      </c>
      <c r="O73">
        <f t="shared" ca="1" si="33"/>
        <v>6683.1452289898334</v>
      </c>
      <c r="P73">
        <f t="shared" ca="1" si="34"/>
        <v>9.3274881074526625</v>
      </c>
      <c r="Q73">
        <f t="shared" ca="1" si="35"/>
        <v>0</v>
      </c>
      <c r="R73">
        <f t="shared" ca="1" si="36"/>
        <v>1.332498301064666</v>
      </c>
      <c r="S73">
        <f t="shared" ca="1" si="37"/>
        <v>3.3312457526616654</v>
      </c>
      <c r="T73">
        <f t="shared" ca="1" si="38"/>
        <v>3.3312457526616654</v>
      </c>
      <c r="U73">
        <f t="shared" ca="1" si="39"/>
        <v>3.3312457526616654</v>
      </c>
    </row>
    <row r="74" spans="1:21" x14ac:dyDescent="0.3">
      <c r="A74" t="s">
        <v>47</v>
      </c>
      <c r="B74">
        <v>3</v>
      </c>
      <c r="C74">
        <v>150094</v>
      </c>
      <c r="D74">
        <v>160128</v>
      </c>
      <c r="E74">
        <v>160125</v>
      </c>
      <c r="F74">
        <v>150108</v>
      </c>
      <c r="G74">
        <v>150094</v>
      </c>
      <c r="H74">
        <v>150096</v>
      </c>
      <c r="I74">
        <v>150099</v>
      </c>
      <c r="J74">
        <v>150099</v>
      </c>
      <c r="K74">
        <v>150099</v>
      </c>
      <c r="L74">
        <f t="shared" ca="1" si="30"/>
        <v>150094</v>
      </c>
      <c r="M74">
        <f t="shared" ca="1" si="31"/>
        <v>0</v>
      </c>
      <c r="N74">
        <f t="shared" ca="1" si="32"/>
        <v>6685.143976441429</v>
      </c>
      <c r="O74">
        <f t="shared" ca="1" si="33"/>
        <v>6683.1452289898334</v>
      </c>
      <c r="P74">
        <f t="shared" ca="1" si="34"/>
        <v>9.3274881074526625</v>
      </c>
      <c r="Q74">
        <f t="shared" ca="1" si="35"/>
        <v>0</v>
      </c>
      <c r="R74">
        <f t="shared" ca="1" si="36"/>
        <v>1.332498301064666</v>
      </c>
      <c r="S74">
        <f t="shared" ca="1" si="37"/>
        <v>3.3312457526616654</v>
      </c>
      <c r="T74">
        <f t="shared" ca="1" si="38"/>
        <v>3.3312457526616654</v>
      </c>
      <c r="U74">
        <f t="shared" ca="1" si="39"/>
        <v>3.3312457526616654</v>
      </c>
    </row>
    <row r="75" spans="1:21" x14ac:dyDescent="0.3">
      <c r="A75" t="s">
        <v>47</v>
      </c>
      <c r="B75">
        <v>4</v>
      </c>
      <c r="C75">
        <v>150094</v>
      </c>
      <c r="D75">
        <v>160128</v>
      </c>
      <c r="E75">
        <v>160125</v>
      </c>
      <c r="F75">
        <v>150108</v>
      </c>
      <c r="G75">
        <v>150094</v>
      </c>
      <c r="H75">
        <v>150096</v>
      </c>
      <c r="I75">
        <v>150099</v>
      </c>
      <c r="J75">
        <v>150099</v>
      </c>
      <c r="K75">
        <v>150099</v>
      </c>
      <c r="L75">
        <f t="shared" ca="1" si="30"/>
        <v>150094</v>
      </c>
      <c r="M75">
        <f t="shared" ca="1" si="31"/>
        <v>0</v>
      </c>
      <c r="N75">
        <f t="shared" ca="1" si="32"/>
        <v>6685.143976441429</v>
      </c>
      <c r="O75">
        <f t="shared" ca="1" si="33"/>
        <v>6683.1452289898334</v>
      </c>
      <c r="P75">
        <f t="shared" ca="1" si="34"/>
        <v>9.3274881074526625</v>
      </c>
      <c r="Q75">
        <f t="shared" ca="1" si="35"/>
        <v>0</v>
      </c>
      <c r="R75">
        <f t="shared" ca="1" si="36"/>
        <v>1.332498301064666</v>
      </c>
      <c r="S75">
        <f t="shared" ca="1" si="37"/>
        <v>3.3312457526616654</v>
      </c>
      <c r="T75">
        <f t="shared" ca="1" si="38"/>
        <v>3.3312457526616654</v>
      </c>
      <c r="U75">
        <f t="shared" ca="1" si="39"/>
        <v>3.3312457526616654</v>
      </c>
    </row>
    <row r="76" spans="1:21" x14ac:dyDescent="0.3">
      <c r="A76" t="s">
        <v>47</v>
      </c>
      <c r="B76">
        <v>5</v>
      </c>
      <c r="C76">
        <v>150094</v>
      </c>
      <c r="D76">
        <v>160128</v>
      </c>
      <c r="E76">
        <v>160125</v>
      </c>
      <c r="F76">
        <v>150108</v>
      </c>
      <c r="G76">
        <v>150094</v>
      </c>
      <c r="H76">
        <v>150094</v>
      </c>
      <c r="I76">
        <v>150099</v>
      </c>
      <c r="J76">
        <v>150099</v>
      </c>
      <c r="K76">
        <v>150099</v>
      </c>
      <c r="L76">
        <f t="shared" ca="1" si="30"/>
        <v>150094</v>
      </c>
      <c r="M76">
        <f t="shared" ca="1" si="31"/>
        <v>0</v>
      </c>
      <c r="N76">
        <f t="shared" ca="1" si="32"/>
        <v>6685.143976441429</v>
      </c>
      <c r="O76">
        <f t="shared" ca="1" si="33"/>
        <v>6683.1452289898334</v>
      </c>
      <c r="P76">
        <f t="shared" ca="1" si="34"/>
        <v>9.3274881074526625</v>
      </c>
      <c r="Q76">
        <f t="shared" ca="1" si="35"/>
        <v>0</v>
      </c>
      <c r="R76">
        <f t="shared" ca="1" si="36"/>
        <v>0</v>
      </c>
      <c r="S76">
        <f t="shared" ca="1" si="37"/>
        <v>3.3312457526616654</v>
      </c>
      <c r="T76">
        <f t="shared" ca="1" si="38"/>
        <v>3.3312457526616654</v>
      </c>
      <c r="U76">
        <f t="shared" ca="1" si="39"/>
        <v>3.3312457526616654</v>
      </c>
    </row>
    <row r="77" spans="1:21" x14ac:dyDescent="0.3">
      <c r="A77" t="s">
        <v>47</v>
      </c>
      <c r="B77">
        <v>6</v>
      </c>
      <c r="C77">
        <v>150094</v>
      </c>
      <c r="D77">
        <v>160128</v>
      </c>
      <c r="E77">
        <v>160125</v>
      </c>
      <c r="F77">
        <v>150108</v>
      </c>
      <c r="G77">
        <v>150094</v>
      </c>
      <c r="H77">
        <v>150096</v>
      </c>
      <c r="I77">
        <v>150099</v>
      </c>
      <c r="J77">
        <v>150099</v>
      </c>
      <c r="K77">
        <v>150099</v>
      </c>
      <c r="L77">
        <f t="shared" ca="1" si="30"/>
        <v>150094</v>
      </c>
      <c r="M77">
        <f t="shared" ca="1" si="31"/>
        <v>0</v>
      </c>
      <c r="N77">
        <f t="shared" ca="1" si="32"/>
        <v>6685.143976441429</v>
      </c>
      <c r="O77">
        <f t="shared" ca="1" si="33"/>
        <v>6683.1452289898334</v>
      </c>
      <c r="P77">
        <f t="shared" ca="1" si="34"/>
        <v>9.3274881074526625</v>
      </c>
      <c r="Q77">
        <f t="shared" ca="1" si="35"/>
        <v>0</v>
      </c>
      <c r="R77">
        <f t="shared" ca="1" si="36"/>
        <v>1.332498301064666</v>
      </c>
      <c r="S77">
        <f t="shared" ca="1" si="37"/>
        <v>3.3312457526616654</v>
      </c>
      <c r="T77">
        <f t="shared" ca="1" si="38"/>
        <v>3.3312457526616654</v>
      </c>
      <c r="U77">
        <f t="shared" ca="1" si="39"/>
        <v>3.3312457526616654</v>
      </c>
    </row>
    <row r="78" spans="1:21" x14ac:dyDescent="0.3">
      <c r="A78" t="s">
        <v>47</v>
      </c>
      <c r="B78">
        <v>7</v>
      </c>
      <c r="C78">
        <v>150094</v>
      </c>
      <c r="D78">
        <v>160128</v>
      </c>
      <c r="E78">
        <v>160125</v>
      </c>
      <c r="F78">
        <v>150108</v>
      </c>
      <c r="G78">
        <v>150094</v>
      </c>
      <c r="H78">
        <v>150094</v>
      </c>
      <c r="I78">
        <v>150099</v>
      </c>
      <c r="J78">
        <v>150099</v>
      </c>
      <c r="K78">
        <v>150099</v>
      </c>
      <c r="L78">
        <f t="shared" ca="1" si="30"/>
        <v>150094</v>
      </c>
      <c r="M78">
        <f t="shared" ca="1" si="31"/>
        <v>0</v>
      </c>
      <c r="N78">
        <f t="shared" ca="1" si="32"/>
        <v>6685.143976441429</v>
      </c>
      <c r="O78">
        <f t="shared" ca="1" si="33"/>
        <v>6683.1452289898334</v>
      </c>
      <c r="P78">
        <f t="shared" ca="1" si="34"/>
        <v>9.3274881074526625</v>
      </c>
      <c r="Q78">
        <f t="shared" ca="1" si="35"/>
        <v>0</v>
      </c>
      <c r="R78">
        <f t="shared" ca="1" si="36"/>
        <v>0</v>
      </c>
      <c r="S78">
        <f t="shared" ca="1" si="37"/>
        <v>3.3312457526616654</v>
      </c>
      <c r="T78">
        <f t="shared" ca="1" si="38"/>
        <v>3.3312457526616654</v>
      </c>
      <c r="U78">
        <f t="shared" ca="1" si="39"/>
        <v>3.3312457526616654</v>
      </c>
    </row>
    <row r="79" spans="1:21" x14ac:dyDescent="0.3">
      <c r="A79" t="s">
        <v>47</v>
      </c>
      <c r="B79">
        <v>8</v>
      </c>
      <c r="C79">
        <v>150094</v>
      </c>
      <c r="D79">
        <v>160128</v>
      </c>
      <c r="E79">
        <v>160125</v>
      </c>
      <c r="F79">
        <v>150108</v>
      </c>
      <c r="G79">
        <v>150094</v>
      </c>
      <c r="H79">
        <v>150094</v>
      </c>
      <c r="I79">
        <v>150099</v>
      </c>
      <c r="J79">
        <v>150099</v>
      </c>
      <c r="K79">
        <v>150099</v>
      </c>
      <c r="L79">
        <f t="shared" ca="1" si="30"/>
        <v>150094</v>
      </c>
      <c r="M79">
        <f t="shared" ca="1" si="31"/>
        <v>0</v>
      </c>
      <c r="N79">
        <f t="shared" ca="1" si="32"/>
        <v>6685.143976441429</v>
      </c>
      <c r="O79">
        <f t="shared" ca="1" si="33"/>
        <v>6683.1452289898334</v>
      </c>
      <c r="P79">
        <f t="shared" ca="1" si="34"/>
        <v>9.3274881074526625</v>
      </c>
      <c r="Q79">
        <f t="shared" ca="1" si="35"/>
        <v>0</v>
      </c>
      <c r="R79">
        <f t="shared" ca="1" si="36"/>
        <v>0</v>
      </c>
      <c r="S79">
        <f t="shared" ca="1" si="37"/>
        <v>3.3312457526616654</v>
      </c>
      <c r="T79">
        <f t="shared" ca="1" si="38"/>
        <v>3.3312457526616654</v>
      </c>
      <c r="U79">
        <f t="shared" ca="1" si="39"/>
        <v>3.3312457526616654</v>
      </c>
    </row>
    <row r="80" spans="1:21" x14ac:dyDescent="0.3">
      <c r="A80" t="s">
        <v>47</v>
      </c>
      <c r="B80">
        <v>9</v>
      </c>
      <c r="C80">
        <v>150094</v>
      </c>
      <c r="D80">
        <v>160128</v>
      </c>
      <c r="E80">
        <v>160125</v>
      </c>
      <c r="F80">
        <v>150108</v>
      </c>
      <c r="G80">
        <v>150094</v>
      </c>
      <c r="H80">
        <v>150094</v>
      </c>
      <c r="I80">
        <v>150099</v>
      </c>
      <c r="J80">
        <v>150099</v>
      </c>
      <c r="K80">
        <v>150099</v>
      </c>
      <c r="L80">
        <f t="shared" ca="1" si="30"/>
        <v>150094</v>
      </c>
      <c r="M80">
        <f t="shared" ca="1" si="31"/>
        <v>0</v>
      </c>
      <c r="N80">
        <f t="shared" ca="1" si="32"/>
        <v>6685.143976441429</v>
      </c>
      <c r="O80">
        <f t="shared" ca="1" si="33"/>
        <v>6683.1452289898334</v>
      </c>
      <c r="P80">
        <f t="shared" ca="1" si="34"/>
        <v>9.3274881074526625</v>
      </c>
      <c r="Q80">
        <f t="shared" ca="1" si="35"/>
        <v>0</v>
      </c>
      <c r="R80">
        <f t="shared" ca="1" si="36"/>
        <v>0</v>
      </c>
      <c r="S80">
        <f t="shared" ca="1" si="37"/>
        <v>3.3312457526616654</v>
      </c>
      <c r="T80">
        <f t="shared" ca="1" si="38"/>
        <v>3.3312457526616654</v>
      </c>
      <c r="U80">
        <f t="shared" ca="1" si="39"/>
        <v>3.3312457526616654</v>
      </c>
    </row>
    <row r="81" spans="1:21" x14ac:dyDescent="0.3">
      <c r="A81" t="s">
        <v>47</v>
      </c>
      <c r="B81">
        <v>10</v>
      </c>
      <c r="C81">
        <v>150094</v>
      </c>
      <c r="D81">
        <v>160128</v>
      </c>
      <c r="E81">
        <v>160125</v>
      </c>
      <c r="F81">
        <v>150108</v>
      </c>
      <c r="G81">
        <v>150094</v>
      </c>
      <c r="H81">
        <v>150096</v>
      </c>
      <c r="I81">
        <v>150099</v>
      </c>
      <c r="J81">
        <v>150099</v>
      </c>
      <c r="K81">
        <v>150099</v>
      </c>
      <c r="L81">
        <f t="shared" ca="1" si="30"/>
        <v>150094</v>
      </c>
      <c r="M81">
        <f t="shared" ca="1" si="31"/>
        <v>0</v>
      </c>
      <c r="N81">
        <f t="shared" ca="1" si="32"/>
        <v>6685.143976441429</v>
      </c>
      <c r="O81">
        <f t="shared" ca="1" si="33"/>
        <v>6683.1452289898334</v>
      </c>
      <c r="P81">
        <f t="shared" ca="1" si="34"/>
        <v>9.3274881074526625</v>
      </c>
      <c r="Q81">
        <f t="shared" ca="1" si="35"/>
        <v>0</v>
      </c>
      <c r="R81">
        <f t="shared" ca="1" si="36"/>
        <v>1.332498301064666</v>
      </c>
      <c r="S81">
        <f t="shared" ca="1" si="37"/>
        <v>3.3312457526616654</v>
      </c>
      <c r="T81">
        <f t="shared" ca="1" si="38"/>
        <v>3.3312457526616654</v>
      </c>
      <c r="U81">
        <f t="shared" ca="1" si="39"/>
        <v>3.3312457526616654</v>
      </c>
    </row>
    <row r="82" spans="1:21" x14ac:dyDescent="0.3">
      <c r="A82" t="s">
        <v>8</v>
      </c>
      <c r="B82">
        <v>1</v>
      </c>
      <c r="C82">
        <v>150089</v>
      </c>
      <c r="D82">
        <v>150112</v>
      </c>
      <c r="E82">
        <v>150123</v>
      </c>
      <c r="F82">
        <v>160113</v>
      </c>
      <c r="G82">
        <v>150092</v>
      </c>
      <c r="H82">
        <v>150099</v>
      </c>
      <c r="I82">
        <v>150093</v>
      </c>
      <c r="J82">
        <v>150093</v>
      </c>
      <c r="K82">
        <v>150093</v>
      </c>
      <c r="L82">
        <f t="shared" ca="1" si="30"/>
        <v>150089</v>
      </c>
      <c r="M82">
        <f t="shared" ca="1" si="31"/>
        <v>0</v>
      </c>
      <c r="N82">
        <f t="shared" ca="1" si="32"/>
        <v>15.324240950369449</v>
      </c>
      <c r="O82">
        <f t="shared" ca="1" si="33"/>
        <v>22.653225752720054</v>
      </c>
      <c r="P82">
        <f t="shared" ca="1" si="34"/>
        <v>6678.703968978406</v>
      </c>
      <c r="Q82">
        <f t="shared" ca="1" si="35"/>
        <v>1.9988140370047103</v>
      </c>
      <c r="R82">
        <f t="shared" ca="1" si="36"/>
        <v>6.6627134566823676</v>
      </c>
      <c r="S82">
        <f t="shared" ca="1" si="37"/>
        <v>2.6650853826729475</v>
      </c>
      <c r="T82">
        <f t="shared" ca="1" si="38"/>
        <v>2.6650853826729475</v>
      </c>
      <c r="U82">
        <f t="shared" ca="1" si="39"/>
        <v>2.6650853826729475</v>
      </c>
    </row>
    <row r="83" spans="1:21" x14ac:dyDescent="0.3">
      <c r="A83" t="s">
        <v>8</v>
      </c>
      <c r="B83">
        <v>2</v>
      </c>
      <c r="C83">
        <v>150089</v>
      </c>
      <c r="D83">
        <v>150112</v>
      </c>
      <c r="E83">
        <v>150123</v>
      </c>
      <c r="F83">
        <v>160113</v>
      </c>
      <c r="G83">
        <v>150091</v>
      </c>
      <c r="H83">
        <v>150089</v>
      </c>
      <c r="I83">
        <v>150092</v>
      </c>
      <c r="J83">
        <v>150093</v>
      </c>
      <c r="K83">
        <v>150093</v>
      </c>
      <c r="L83">
        <f t="shared" ca="1" si="30"/>
        <v>150089</v>
      </c>
      <c r="M83">
        <f t="shared" ca="1" si="31"/>
        <v>0</v>
      </c>
      <c r="N83">
        <f t="shared" ca="1" si="32"/>
        <v>15.324240950369449</v>
      </c>
      <c r="O83">
        <f t="shared" ca="1" si="33"/>
        <v>22.653225752720054</v>
      </c>
      <c r="P83">
        <f t="shared" ca="1" si="34"/>
        <v>6678.703968978406</v>
      </c>
      <c r="Q83">
        <f t="shared" ca="1" si="35"/>
        <v>1.3325426913364737</v>
      </c>
      <c r="R83">
        <f t="shared" ca="1" si="36"/>
        <v>0</v>
      </c>
      <c r="S83">
        <f t="shared" ca="1" si="37"/>
        <v>1.9988140370047103</v>
      </c>
      <c r="T83">
        <f t="shared" ca="1" si="38"/>
        <v>2.6650853826729475</v>
      </c>
      <c r="U83">
        <f t="shared" ca="1" si="39"/>
        <v>2.6650853826729475</v>
      </c>
    </row>
    <row r="84" spans="1:21" x14ac:dyDescent="0.3">
      <c r="A84" t="s">
        <v>48</v>
      </c>
      <c r="B84">
        <v>3</v>
      </c>
      <c r="C84">
        <v>150089</v>
      </c>
      <c r="D84">
        <v>150112</v>
      </c>
      <c r="E84">
        <v>150123</v>
      </c>
      <c r="F84">
        <v>160113</v>
      </c>
      <c r="G84">
        <v>150091</v>
      </c>
      <c r="H84">
        <v>150091</v>
      </c>
      <c r="I84">
        <v>150092</v>
      </c>
      <c r="J84">
        <v>150092</v>
      </c>
      <c r="K84">
        <v>150093</v>
      </c>
      <c r="L84">
        <f t="shared" ca="1" si="30"/>
        <v>150089</v>
      </c>
      <c r="M84">
        <f t="shared" ca="1" si="31"/>
        <v>0</v>
      </c>
      <c r="N84">
        <f t="shared" ca="1" si="32"/>
        <v>15.324240950369449</v>
      </c>
      <c r="O84">
        <f t="shared" ca="1" si="33"/>
        <v>22.653225752720054</v>
      </c>
      <c r="P84">
        <f t="shared" ca="1" si="34"/>
        <v>6678.703968978406</v>
      </c>
      <c r="Q84">
        <f t="shared" ca="1" si="35"/>
        <v>1.3325426913364737</v>
      </c>
      <c r="R84">
        <f t="shared" ca="1" si="36"/>
        <v>1.3325426913364737</v>
      </c>
      <c r="S84">
        <f t="shared" ca="1" si="37"/>
        <v>1.9988140370047103</v>
      </c>
      <c r="T84">
        <f t="shared" ca="1" si="38"/>
        <v>1.9988140370047103</v>
      </c>
      <c r="U84">
        <f t="shared" ca="1" si="39"/>
        <v>2.6650853826729475</v>
      </c>
    </row>
    <row r="85" spans="1:21" x14ac:dyDescent="0.3">
      <c r="A85" t="s">
        <v>48</v>
      </c>
      <c r="B85">
        <v>4</v>
      </c>
      <c r="C85">
        <v>150089</v>
      </c>
      <c r="D85">
        <v>150112</v>
      </c>
      <c r="E85">
        <v>150123</v>
      </c>
      <c r="F85">
        <v>160113</v>
      </c>
      <c r="G85">
        <v>150090</v>
      </c>
      <c r="H85">
        <v>150090</v>
      </c>
      <c r="I85">
        <v>150092</v>
      </c>
      <c r="J85">
        <v>150093</v>
      </c>
      <c r="K85">
        <v>150093</v>
      </c>
      <c r="L85">
        <f t="shared" ca="1" si="30"/>
        <v>150089</v>
      </c>
      <c r="M85">
        <f t="shared" ca="1" si="31"/>
        <v>0</v>
      </c>
      <c r="N85">
        <f t="shared" ca="1" si="32"/>
        <v>15.324240950369449</v>
      </c>
      <c r="O85">
        <f t="shared" ca="1" si="33"/>
        <v>22.653225752720054</v>
      </c>
      <c r="P85">
        <f t="shared" ca="1" si="34"/>
        <v>6678.703968978406</v>
      </c>
      <c r="Q85">
        <f t="shared" ca="1" si="35"/>
        <v>0.66627134566823687</v>
      </c>
      <c r="R85">
        <f t="shared" ca="1" si="36"/>
        <v>0.66627134566823687</v>
      </c>
      <c r="S85">
        <f t="shared" ca="1" si="37"/>
        <v>1.9988140370047103</v>
      </c>
      <c r="T85">
        <f t="shared" ca="1" si="38"/>
        <v>2.6650853826729475</v>
      </c>
      <c r="U85">
        <f t="shared" ca="1" si="39"/>
        <v>2.6650853826729475</v>
      </c>
    </row>
    <row r="86" spans="1:21" x14ac:dyDescent="0.3">
      <c r="A86" t="s">
        <v>48</v>
      </c>
      <c r="B86">
        <v>5</v>
      </c>
      <c r="C86">
        <v>150089</v>
      </c>
      <c r="D86">
        <v>150112</v>
      </c>
      <c r="E86">
        <v>150123</v>
      </c>
      <c r="F86">
        <v>160113</v>
      </c>
      <c r="G86">
        <v>150091</v>
      </c>
      <c r="H86">
        <v>150103</v>
      </c>
      <c r="I86">
        <v>150092</v>
      </c>
      <c r="J86">
        <v>150092</v>
      </c>
      <c r="K86">
        <v>150093</v>
      </c>
      <c r="L86">
        <f t="shared" ca="1" si="30"/>
        <v>150089</v>
      </c>
      <c r="M86">
        <f t="shared" ca="1" si="31"/>
        <v>0</v>
      </c>
      <c r="N86">
        <f t="shared" ca="1" si="32"/>
        <v>15.324240950369449</v>
      </c>
      <c r="O86">
        <f t="shared" ca="1" si="33"/>
        <v>22.653225752720054</v>
      </c>
      <c r="P86">
        <f t="shared" ca="1" si="34"/>
        <v>6678.703968978406</v>
      </c>
      <c r="Q86">
        <f t="shared" ca="1" si="35"/>
        <v>1.3325426913364737</v>
      </c>
      <c r="R86">
        <f t="shared" ca="1" si="36"/>
        <v>9.3277988393553155</v>
      </c>
      <c r="S86">
        <f t="shared" ca="1" si="37"/>
        <v>1.9988140370047103</v>
      </c>
      <c r="T86">
        <f t="shared" ca="1" si="38"/>
        <v>1.9988140370047103</v>
      </c>
      <c r="U86">
        <f t="shared" ca="1" si="39"/>
        <v>2.6650853826729475</v>
      </c>
    </row>
    <row r="87" spans="1:21" x14ac:dyDescent="0.3">
      <c r="A87" t="s">
        <v>48</v>
      </c>
      <c r="B87">
        <v>6</v>
      </c>
      <c r="C87">
        <v>150090</v>
      </c>
      <c r="D87">
        <v>150112</v>
      </c>
      <c r="E87">
        <v>150123</v>
      </c>
      <c r="F87">
        <v>160113</v>
      </c>
      <c r="G87">
        <v>150090</v>
      </c>
      <c r="H87">
        <v>150091</v>
      </c>
      <c r="I87">
        <v>150092</v>
      </c>
      <c r="J87">
        <v>150093</v>
      </c>
      <c r="K87">
        <v>150093</v>
      </c>
      <c r="L87">
        <f t="shared" ca="1" si="30"/>
        <v>150089</v>
      </c>
      <c r="M87">
        <f t="shared" ca="1" si="31"/>
        <v>0.66627134566823687</v>
      </c>
      <c r="N87">
        <f t="shared" ca="1" si="32"/>
        <v>15.324240950369449</v>
      </c>
      <c r="O87">
        <f t="shared" ca="1" si="33"/>
        <v>22.653225752720054</v>
      </c>
      <c r="P87">
        <f t="shared" ca="1" si="34"/>
        <v>6678.703968978406</v>
      </c>
      <c r="Q87">
        <f t="shared" ca="1" si="35"/>
        <v>0.66627134566823687</v>
      </c>
      <c r="R87">
        <f t="shared" ca="1" si="36"/>
        <v>1.3325426913364737</v>
      </c>
      <c r="S87">
        <f t="shared" ca="1" si="37"/>
        <v>1.9988140370047103</v>
      </c>
      <c r="T87">
        <f t="shared" ca="1" si="38"/>
        <v>2.6650853826729475</v>
      </c>
      <c r="U87">
        <f t="shared" ca="1" si="39"/>
        <v>2.6650853826729475</v>
      </c>
    </row>
    <row r="88" spans="1:21" x14ac:dyDescent="0.3">
      <c r="A88" t="s">
        <v>48</v>
      </c>
      <c r="B88">
        <v>7</v>
      </c>
      <c r="C88">
        <v>150089</v>
      </c>
      <c r="D88">
        <v>150112</v>
      </c>
      <c r="E88">
        <v>150123</v>
      </c>
      <c r="F88">
        <v>160113</v>
      </c>
      <c r="G88">
        <v>150090</v>
      </c>
      <c r="H88">
        <v>150091</v>
      </c>
      <c r="I88">
        <v>150092</v>
      </c>
      <c r="J88">
        <v>150093</v>
      </c>
      <c r="K88">
        <v>150092</v>
      </c>
      <c r="L88">
        <f t="shared" ca="1" si="30"/>
        <v>150089</v>
      </c>
      <c r="M88">
        <f t="shared" ca="1" si="31"/>
        <v>0</v>
      </c>
      <c r="N88">
        <f t="shared" ca="1" si="32"/>
        <v>15.324240950369449</v>
      </c>
      <c r="O88">
        <f t="shared" ca="1" si="33"/>
        <v>22.653225752720054</v>
      </c>
      <c r="P88">
        <f t="shared" ca="1" si="34"/>
        <v>6678.703968978406</v>
      </c>
      <c r="Q88">
        <f t="shared" ca="1" si="35"/>
        <v>0.66627134566823687</v>
      </c>
      <c r="R88">
        <f t="shared" ca="1" si="36"/>
        <v>1.3325426913364737</v>
      </c>
      <c r="S88">
        <f t="shared" ca="1" si="37"/>
        <v>1.9988140370047103</v>
      </c>
      <c r="T88">
        <f t="shared" ca="1" si="38"/>
        <v>2.6650853826729475</v>
      </c>
      <c r="U88">
        <f t="shared" ca="1" si="39"/>
        <v>1.9988140370047103</v>
      </c>
    </row>
    <row r="89" spans="1:21" x14ac:dyDescent="0.3">
      <c r="A89" t="s">
        <v>48</v>
      </c>
      <c r="B89">
        <v>8</v>
      </c>
      <c r="C89">
        <v>150089</v>
      </c>
      <c r="D89">
        <v>150112</v>
      </c>
      <c r="E89">
        <v>150123</v>
      </c>
      <c r="F89">
        <v>160113</v>
      </c>
      <c r="G89">
        <v>150091</v>
      </c>
      <c r="H89">
        <v>150090</v>
      </c>
      <c r="I89">
        <v>150092</v>
      </c>
      <c r="J89">
        <v>150092</v>
      </c>
      <c r="K89">
        <v>150093</v>
      </c>
      <c r="L89">
        <f t="shared" ca="1" si="30"/>
        <v>150089</v>
      </c>
      <c r="M89">
        <f t="shared" ca="1" si="31"/>
        <v>0</v>
      </c>
      <c r="N89">
        <f t="shared" ca="1" si="32"/>
        <v>15.324240950369449</v>
      </c>
      <c r="O89">
        <f t="shared" ca="1" si="33"/>
        <v>22.653225752720054</v>
      </c>
      <c r="P89">
        <f t="shared" ca="1" si="34"/>
        <v>6678.703968978406</v>
      </c>
      <c r="Q89">
        <f t="shared" ca="1" si="35"/>
        <v>1.3325426913364737</v>
      </c>
      <c r="R89">
        <f t="shared" ca="1" si="36"/>
        <v>0.66627134566823687</v>
      </c>
      <c r="S89">
        <f t="shared" ca="1" si="37"/>
        <v>1.9988140370047103</v>
      </c>
      <c r="T89">
        <f t="shared" ca="1" si="38"/>
        <v>1.9988140370047103</v>
      </c>
      <c r="U89">
        <f t="shared" ca="1" si="39"/>
        <v>2.6650853826729475</v>
      </c>
    </row>
    <row r="90" spans="1:21" x14ac:dyDescent="0.3">
      <c r="A90" t="s">
        <v>48</v>
      </c>
      <c r="B90">
        <v>9</v>
      </c>
      <c r="C90">
        <v>150090</v>
      </c>
      <c r="D90">
        <v>150112</v>
      </c>
      <c r="E90">
        <v>150123</v>
      </c>
      <c r="F90">
        <v>160113</v>
      </c>
      <c r="G90">
        <v>150090</v>
      </c>
      <c r="H90">
        <v>150090</v>
      </c>
      <c r="I90">
        <v>150092</v>
      </c>
      <c r="J90">
        <v>150093</v>
      </c>
      <c r="K90">
        <v>150092</v>
      </c>
      <c r="L90">
        <f t="shared" ca="1" si="30"/>
        <v>150089</v>
      </c>
      <c r="M90">
        <f t="shared" ca="1" si="31"/>
        <v>0.66627134566823687</v>
      </c>
      <c r="N90">
        <f t="shared" ca="1" si="32"/>
        <v>15.324240950369449</v>
      </c>
      <c r="O90">
        <f t="shared" ca="1" si="33"/>
        <v>22.653225752720054</v>
      </c>
      <c r="P90">
        <f t="shared" ca="1" si="34"/>
        <v>6678.703968978406</v>
      </c>
      <c r="Q90">
        <f t="shared" ca="1" si="35"/>
        <v>0.66627134566823687</v>
      </c>
      <c r="R90">
        <f t="shared" ca="1" si="36"/>
        <v>0.66627134566823687</v>
      </c>
      <c r="S90">
        <f t="shared" ca="1" si="37"/>
        <v>1.9988140370047103</v>
      </c>
      <c r="T90">
        <f t="shared" ca="1" si="38"/>
        <v>2.6650853826729475</v>
      </c>
      <c r="U90">
        <f t="shared" ca="1" si="39"/>
        <v>1.9988140370047103</v>
      </c>
    </row>
    <row r="91" spans="1:21" x14ac:dyDescent="0.3">
      <c r="A91" t="s">
        <v>48</v>
      </c>
      <c r="B91">
        <v>10</v>
      </c>
      <c r="C91">
        <v>150090</v>
      </c>
      <c r="D91">
        <v>150112</v>
      </c>
      <c r="E91">
        <v>150123</v>
      </c>
      <c r="F91">
        <v>160113</v>
      </c>
      <c r="G91">
        <v>150102</v>
      </c>
      <c r="H91">
        <v>150090</v>
      </c>
      <c r="I91">
        <v>150093</v>
      </c>
      <c r="J91">
        <v>150092</v>
      </c>
      <c r="K91">
        <v>150092</v>
      </c>
      <c r="L91">
        <f t="shared" ca="1" si="30"/>
        <v>150089</v>
      </c>
      <c r="M91">
        <f t="shared" ca="1" si="31"/>
        <v>0.66627134566823687</v>
      </c>
      <c r="N91">
        <f t="shared" ca="1" si="32"/>
        <v>15.324240950369449</v>
      </c>
      <c r="O91">
        <f t="shared" ca="1" si="33"/>
        <v>22.653225752720054</v>
      </c>
      <c r="P91">
        <f t="shared" ca="1" si="34"/>
        <v>6678.703968978406</v>
      </c>
      <c r="Q91">
        <f t="shared" ca="1" si="35"/>
        <v>8.6615274936870801</v>
      </c>
      <c r="R91">
        <f t="shared" ca="1" si="36"/>
        <v>0.66627134566823687</v>
      </c>
      <c r="S91">
        <f t="shared" ca="1" si="37"/>
        <v>2.6650853826729475</v>
      </c>
      <c r="T91">
        <f t="shared" ca="1" si="38"/>
        <v>1.9988140370047103</v>
      </c>
      <c r="U91">
        <f t="shared" ca="1" si="39"/>
        <v>1.9988140370047103</v>
      </c>
    </row>
    <row r="92" spans="1:21" x14ac:dyDescent="0.3">
      <c r="A92" t="s">
        <v>9</v>
      </c>
      <c r="B92">
        <v>1</v>
      </c>
      <c r="C92">
        <v>100127</v>
      </c>
      <c r="D92">
        <v>110125</v>
      </c>
      <c r="E92">
        <v>110124</v>
      </c>
      <c r="F92">
        <v>110124</v>
      </c>
      <c r="G92">
        <v>100127</v>
      </c>
      <c r="H92">
        <v>100127</v>
      </c>
      <c r="I92">
        <v>100127</v>
      </c>
      <c r="J92">
        <v>100127</v>
      </c>
      <c r="K92">
        <v>100127</v>
      </c>
      <c r="L92">
        <f t="shared" ca="1" si="30"/>
        <v>100122</v>
      </c>
      <c r="M92">
        <f t="shared" ca="1" si="31"/>
        <v>4.9939074329318229</v>
      </c>
      <c r="N92">
        <f t="shared" ca="1" si="32"/>
        <v>9990.8112103234052</v>
      </c>
      <c r="O92">
        <f t="shared" ca="1" si="33"/>
        <v>9989.8124288368199</v>
      </c>
      <c r="P92">
        <f t="shared" ca="1" si="34"/>
        <v>9989.8124288368199</v>
      </c>
      <c r="Q92">
        <f t="shared" ca="1" si="35"/>
        <v>4.9939074329318229</v>
      </c>
      <c r="R92">
        <f t="shared" ca="1" si="36"/>
        <v>4.9939074329318229</v>
      </c>
      <c r="S92">
        <f t="shared" ca="1" si="37"/>
        <v>4.9939074329318229</v>
      </c>
      <c r="T92">
        <f t="shared" ca="1" si="38"/>
        <v>4.9939074329318229</v>
      </c>
      <c r="U92">
        <f t="shared" ca="1" si="39"/>
        <v>4.9939074329318229</v>
      </c>
    </row>
    <row r="93" spans="1:21" x14ac:dyDescent="0.3">
      <c r="A93" t="s">
        <v>9</v>
      </c>
      <c r="B93">
        <v>2</v>
      </c>
      <c r="C93">
        <v>100127</v>
      </c>
      <c r="D93">
        <v>110125</v>
      </c>
      <c r="E93">
        <v>110124</v>
      </c>
      <c r="F93">
        <v>110124</v>
      </c>
      <c r="G93">
        <v>100127</v>
      </c>
      <c r="H93">
        <v>100127</v>
      </c>
      <c r="I93">
        <v>100127</v>
      </c>
      <c r="J93">
        <v>100127</v>
      </c>
      <c r="K93">
        <v>100127</v>
      </c>
      <c r="L93">
        <f t="shared" ca="1" si="30"/>
        <v>100122</v>
      </c>
      <c r="M93">
        <f t="shared" ca="1" si="31"/>
        <v>4.9939074329318229</v>
      </c>
      <c r="N93">
        <f t="shared" ca="1" si="32"/>
        <v>9990.8112103234052</v>
      </c>
      <c r="O93">
        <f t="shared" ca="1" si="33"/>
        <v>9989.8124288368199</v>
      </c>
      <c r="P93">
        <f t="shared" ca="1" si="34"/>
        <v>9989.8124288368199</v>
      </c>
      <c r="Q93">
        <f t="shared" ca="1" si="35"/>
        <v>4.9939074329318229</v>
      </c>
      <c r="R93">
        <f t="shared" ca="1" si="36"/>
        <v>4.9939074329318229</v>
      </c>
      <c r="S93">
        <f t="shared" ca="1" si="37"/>
        <v>4.9939074329318229</v>
      </c>
      <c r="T93">
        <f t="shared" ca="1" si="38"/>
        <v>4.9939074329318229</v>
      </c>
      <c r="U93">
        <f t="shared" ca="1" si="39"/>
        <v>4.9939074329318229</v>
      </c>
    </row>
    <row r="94" spans="1:21" x14ac:dyDescent="0.3">
      <c r="A94" t="s">
        <v>49</v>
      </c>
      <c r="B94">
        <v>3</v>
      </c>
      <c r="C94">
        <v>100127</v>
      </c>
      <c r="D94">
        <v>110125</v>
      </c>
      <c r="E94">
        <v>110124</v>
      </c>
      <c r="F94">
        <v>110124</v>
      </c>
      <c r="G94">
        <v>100127</v>
      </c>
      <c r="H94">
        <v>100127</v>
      </c>
      <c r="I94">
        <v>100125</v>
      </c>
      <c r="J94">
        <v>100127</v>
      </c>
      <c r="K94">
        <v>100127</v>
      </c>
      <c r="L94">
        <f t="shared" ca="1" si="30"/>
        <v>100122</v>
      </c>
      <c r="M94">
        <f t="shared" ca="1" si="31"/>
        <v>4.9939074329318229</v>
      </c>
      <c r="N94">
        <f t="shared" ca="1" si="32"/>
        <v>9990.8112103234052</v>
      </c>
      <c r="O94">
        <f t="shared" ca="1" si="33"/>
        <v>9989.8124288368199</v>
      </c>
      <c r="P94">
        <f t="shared" ca="1" si="34"/>
        <v>9989.8124288368199</v>
      </c>
      <c r="Q94">
        <f t="shared" ca="1" si="35"/>
        <v>4.9939074329318229</v>
      </c>
      <c r="R94">
        <f t="shared" ca="1" si="36"/>
        <v>4.9939074329318229</v>
      </c>
      <c r="S94">
        <f t="shared" ca="1" si="37"/>
        <v>2.996344459759094</v>
      </c>
      <c r="T94">
        <f t="shared" ca="1" si="38"/>
        <v>4.9939074329318229</v>
      </c>
      <c r="U94">
        <f t="shared" ca="1" si="39"/>
        <v>4.9939074329318229</v>
      </c>
    </row>
    <row r="95" spans="1:21" x14ac:dyDescent="0.3">
      <c r="A95" t="s">
        <v>49</v>
      </c>
      <c r="B95">
        <v>4</v>
      </c>
      <c r="C95">
        <v>100127</v>
      </c>
      <c r="D95">
        <v>110125</v>
      </c>
      <c r="E95">
        <v>110124</v>
      </c>
      <c r="F95">
        <v>110124</v>
      </c>
      <c r="G95">
        <v>100127</v>
      </c>
      <c r="H95">
        <v>100127</v>
      </c>
      <c r="I95">
        <v>100127</v>
      </c>
      <c r="J95">
        <v>100127</v>
      </c>
      <c r="K95">
        <v>100127</v>
      </c>
      <c r="L95">
        <f t="shared" ca="1" si="30"/>
        <v>100122</v>
      </c>
      <c r="M95">
        <f t="shared" ca="1" si="31"/>
        <v>4.9939074329318229</v>
      </c>
      <c r="N95">
        <f t="shared" ca="1" si="32"/>
        <v>9990.8112103234052</v>
      </c>
      <c r="O95">
        <f t="shared" ca="1" si="33"/>
        <v>9989.8124288368199</v>
      </c>
      <c r="P95">
        <f t="shared" ca="1" si="34"/>
        <v>9989.8124288368199</v>
      </c>
      <c r="Q95">
        <f t="shared" ca="1" si="35"/>
        <v>4.9939074329318229</v>
      </c>
      <c r="R95">
        <f t="shared" ca="1" si="36"/>
        <v>4.9939074329318229</v>
      </c>
      <c r="S95">
        <f t="shared" ca="1" si="37"/>
        <v>4.9939074329318229</v>
      </c>
      <c r="T95">
        <f t="shared" ca="1" si="38"/>
        <v>4.9939074329318229</v>
      </c>
      <c r="U95">
        <f t="shared" ca="1" si="39"/>
        <v>4.9939074329318229</v>
      </c>
    </row>
    <row r="96" spans="1:21" x14ac:dyDescent="0.3">
      <c r="A96" t="s">
        <v>49</v>
      </c>
      <c r="B96">
        <v>5</v>
      </c>
      <c r="C96">
        <v>100127</v>
      </c>
      <c r="D96">
        <v>110125</v>
      </c>
      <c r="E96">
        <v>110124</v>
      </c>
      <c r="F96">
        <v>110124</v>
      </c>
      <c r="G96">
        <v>100127</v>
      </c>
      <c r="H96">
        <v>100127</v>
      </c>
      <c r="I96">
        <v>100125</v>
      </c>
      <c r="J96">
        <v>100127</v>
      </c>
      <c r="K96">
        <v>100127</v>
      </c>
      <c r="L96">
        <f t="shared" ca="1" si="30"/>
        <v>100122</v>
      </c>
      <c r="M96">
        <f t="shared" ca="1" si="31"/>
        <v>4.9939074329318229</v>
      </c>
      <c r="N96">
        <f t="shared" ca="1" si="32"/>
        <v>9990.8112103234052</v>
      </c>
      <c r="O96">
        <f t="shared" ca="1" si="33"/>
        <v>9989.8124288368199</v>
      </c>
      <c r="P96">
        <f t="shared" ca="1" si="34"/>
        <v>9989.8124288368199</v>
      </c>
      <c r="Q96">
        <f t="shared" ca="1" si="35"/>
        <v>4.9939074329318229</v>
      </c>
      <c r="R96">
        <f t="shared" ca="1" si="36"/>
        <v>4.9939074329318229</v>
      </c>
      <c r="S96">
        <f t="shared" ca="1" si="37"/>
        <v>2.996344459759094</v>
      </c>
      <c r="T96">
        <f t="shared" ca="1" si="38"/>
        <v>4.9939074329318229</v>
      </c>
      <c r="U96">
        <f t="shared" ca="1" si="39"/>
        <v>4.9939074329318229</v>
      </c>
    </row>
    <row r="97" spans="1:21" x14ac:dyDescent="0.3">
      <c r="A97" t="s">
        <v>49</v>
      </c>
      <c r="B97">
        <v>6</v>
      </c>
      <c r="C97">
        <v>100127</v>
      </c>
      <c r="D97">
        <v>110125</v>
      </c>
      <c r="E97">
        <v>110124</v>
      </c>
      <c r="F97">
        <v>110124</v>
      </c>
      <c r="G97">
        <v>100127</v>
      </c>
      <c r="H97">
        <v>100127</v>
      </c>
      <c r="I97">
        <v>100127</v>
      </c>
      <c r="J97">
        <v>100127</v>
      </c>
      <c r="K97">
        <v>100127</v>
      </c>
      <c r="L97">
        <f t="shared" ca="1" si="30"/>
        <v>100122</v>
      </c>
      <c r="M97">
        <f t="shared" ca="1" si="31"/>
        <v>4.9939074329318229</v>
      </c>
      <c r="N97">
        <f t="shared" ca="1" si="32"/>
        <v>9990.8112103234052</v>
      </c>
      <c r="O97">
        <f t="shared" ca="1" si="33"/>
        <v>9989.8124288368199</v>
      </c>
      <c r="P97">
        <f t="shared" ca="1" si="34"/>
        <v>9989.8124288368199</v>
      </c>
      <c r="Q97">
        <f t="shared" ca="1" si="35"/>
        <v>4.9939074329318229</v>
      </c>
      <c r="R97">
        <f t="shared" ca="1" si="36"/>
        <v>4.9939074329318229</v>
      </c>
      <c r="S97">
        <f t="shared" ca="1" si="37"/>
        <v>4.9939074329318229</v>
      </c>
      <c r="T97">
        <f t="shared" ca="1" si="38"/>
        <v>4.9939074329318229</v>
      </c>
      <c r="U97">
        <f t="shared" ca="1" si="39"/>
        <v>4.9939074329318229</v>
      </c>
    </row>
    <row r="98" spans="1:21" x14ac:dyDescent="0.3">
      <c r="A98" t="s">
        <v>49</v>
      </c>
      <c r="B98">
        <v>7</v>
      </c>
      <c r="C98">
        <v>100127</v>
      </c>
      <c r="D98">
        <v>110125</v>
      </c>
      <c r="E98">
        <v>110124</v>
      </c>
      <c r="F98">
        <v>110124</v>
      </c>
      <c r="G98">
        <v>100122</v>
      </c>
      <c r="H98">
        <v>100127</v>
      </c>
      <c r="I98">
        <v>100127</v>
      </c>
      <c r="J98">
        <v>100127</v>
      </c>
      <c r="K98">
        <v>100127</v>
      </c>
      <c r="L98">
        <f t="shared" ca="1" si="30"/>
        <v>100122</v>
      </c>
      <c r="M98">
        <f t="shared" ca="1" si="31"/>
        <v>4.9939074329318229</v>
      </c>
      <c r="N98">
        <f t="shared" ca="1" si="32"/>
        <v>9990.8112103234052</v>
      </c>
      <c r="O98">
        <f t="shared" ca="1" si="33"/>
        <v>9989.8124288368199</v>
      </c>
      <c r="P98">
        <f t="shared" ca="1" si="34"/>
        <v>9989.8124288368199</v>
      </c>
      <c r="Q98">
        <f t="shared" ca="1" si="35"/>
        <v>0</v>
      </c>
      <c r="R98">
        <f t="shared" ca="1" si="36"/>
        <v>4.9939074329318229</v>
      </c>
      <c r="S98">
        <f t="shared" ca="1" si="37"/>
        <v>4.9939074329318229</v>
      </c>
      <c r="T98">
        <f t="shared" ca="1" si="38"/>
        <v>4.9939074329318229</v>
      </c>
      <c r="U98">
        <f t="shared" ca="1" si="39"/>
        <v>4.9939074329318229</v>
      </c>
    </row>
    <row r="99" spans="1:21" x14ac:dyDescent="0.3">
      <c r="A99" t="s">
        <v>49</v>
      </c>
      <c r="B99">
        <v>8</v>
      </c>
      <c r="C99">
        <v>100127</v>
      </c>
      <c r="D99">
        <v>110125</v>
      </c>
      <c r="E99">
        <v>110124</v>
      </c>
      <c r="F99">
        <v>110124</v>
      </c>
      <c r="G99">
        <v>100127</v>
      </c>
      <c r="H99">
        <v>100127</v>
      </c>
      <c r="I99">
        <v>100127</v>
      </c>
      <c r="J99">
        <v>100127</v>
      </c>
      <c r="K99">
        <v>100127</v>
      </c>
      <c r="L99">
        <f t="shared" ca="1" si="30"/>
        <v>100122</v>
      </c>
      <c r="M99">
        <f t="shared" ca="1" si="31"/>
        <v>4.9939074329318229</v>
      </c>
      <c r="N99">
        <f t="shared" ca="1" si="32"/>
        <v>9990.8112103234052</v>
      </c>
      <c r="O99">
        <f t="shared" ca="1" si="33"/>
        <v>9989.8124288368199</v>
      </c>
      <c r="P99">
        <f t="shared" ca="1" si="34"/>
        <v>9989.8124288368199</v>
      </c>
      <c r="Q99">
        <f t="shared" ca="1" si="35"/>
        <v>4.9939074329318229</v>
      </c>
      <c r="R99">
        <f t="shared" ca="1" si="36"/>
        <v>4.9939074329318229</v>
      </c>
      <c r="S99">
        <f t="shared" ca="1" si="37"/>
        <v>4.9939074329318229</v>
      </c>
      <c r="T99">
        <f t="shared" ca="1" si="38"/>
        <v>4.9939074329318229</v>
      </c>
      <c r="U99">
        <f t="shared" ca="1" si="39"/>
        <v>4.9939074329318229</v>
      </c>
    </row>
    <row r="100" spans="1:21" x14ac:dyDescent="0.3">
      <c r="A100" t="s">
        <v>49</v>
      </c>
      <c r="B100">
        <v>9</v>
      </c>
      <c r="C100">
        <v>100127</v>
      </c>
      <c r="D100">
        <v>110125</v>
      </c>
      <c r="E100">
        <v>110124</v>
      </c>
      <c r="F100">
        <v>110124</v>
      </c>
      <c r="G100">
        <v>100127</v>
      </c>
      <c r="H100">
        <v>100127</v>
      </c>
      <c r="I100">
        <v>100127</v>
      </c>
      <c r="J100">
        <v>100125</v>
      </c>
      <c r="K100">
        <v>100127</v>
      </c>
      <c r="L100">
        <f t="shared" ca="1" si="30"/>
        <v>100122</v>
      </c>
      <c r="M100">
        <f t="shared" ca="1" si="31"/>
        <v>4.9939074329318229</v>
      </c>
      <c r="N100">
        <f t="shared" ca="1" si="32"/>
        <v>9990.8112103234052</v>
      </c>
      <c r="O100">
        <f t="shared" ca="1" si="33"/>
        <v>9989.8124288368199</v>
      </c>
      <c r="P100">
        <f t="shared" ca="1" si="34"/>
        <v>9989.8124288368199</v>
      </c>
      <c r="Q100">
        <f t="shared" ca="1" si="35"/>
        <v>4.9939074329318229</v>
      </c>
      <c r="R100">
        <f t="shared" ca="1" si="36"/>
        <v>4.9939074329318229</v>
      </c>
      <c r="S100">
        <f t="shared" ca="1" si="37"/>
        <v>4.9939074329318229</v>
      </c>
      <c r="T100">
        <f t="shared" ca="1" si="38"/>
        <v>2.996344459759094</v>
      </c>
      <c r="U100">
        <f t="shared" ca="1" si="39"/>
        <v>4.9939074329318229</v>
      </c>
    </row>
    <row r="101" spans="1:21" x14ac:dyDescent="0.3">
      <c r="A101" t="s">
        <v>49</v>
      </c>
      <c r="B101">
        <v>10</v>
      </c>
      <c r="C101">
        <v>100127</v>
      </c>
      <c r="D101">
        <v>110125</v>
      </c>
      <c r="E101">
        <v>110124</v>
      </c>
      <c r="F101">
        <v>110124</v>
      </c>
      <c r="G101">
        <v>100127</v>
      </c>
      <c r="H101">
        <v>100127</v>
      </c>
      <c r="I101">
        <v>100127</v>
      </c>
      <c r="J101">
        <v>100125</v>
      </c>
      <c r="K101">
        <v>100127</v>
      </c>
      <c r="L101">
        <f t="shared" ca="1" si="30"/>
        <v>100122</v>
      </c>
      <c r="M101">
        <f t="shared" ca="1" si="31"/>
        <v>4.9939074329318229</v>
      </c>
      <c r="N101">
        <f t="shared" ca="1" si="32"/>
        <v>9990.8112103234052</v>
      </c>
      <c r="O101">
        <f t="shared" ca="1" si="33"/>
        <v>9989.8124288368199</v>
      </c>
      <c r="P101">
        <f t="shared" ca="1" si="34"/>
        <v>9989.8124288368199</v>
      </c>
      <c r="Q101">
        <f t="shared" ca="1" si="35"/>
        <v>4.9939074329318229</v>
      </c>
      <c r="R101">
        <f t="shared" ca="1" si="36"/>
        <v>4.9939074329318229</v>
      </c>
      <c r="S101">
        <f t="shared" ca="1" si="37"/>
        <v>4.9939074329318229</v>
      </c>
      <c r="T101">
        <f t="shared" ca="1" si="38"/>
        <v>2.996344459759094</v>
      </c>
      <c r="U101">
        <f t="shared" ca="1" si="39"/>
        <v>4.9939074329318229</v>
      </c>
    </row>
    <row r="102" spans="1:21" x14ac:dyDescent="0.3">
      <c r="A102" t="s">
        <v>10</v>
      </c>
      <c r="B102">
        <v>1</v>
      </c>
      <c r="C102">
        <v>250410</v>
      </c>
      <c r="D102">
        <v>270562</v>
      </c>
      <c r="E102">
        <v>270482</v>
      </c>
      <c r="F102">
        <v>250491</v>
      </c>
      <c r="G102">
        <v>250448</v>
      </c>
      <c r="H102">
        <v>250436</v>
      </c>
      <c r="I102">
        <v>250403</v>
      </c>
      <c r="J102">
        <v>250416</v>
      </c>
      <c r="K102">
        <v>250400</v>
      </c>
      <c r="L102">
        <f t="shared" ca="1" si="30"/>
        <v>250380</v>
      </c>
      <c r="M102">
        <f t="shared" ca="1" si="31"/>
        <v>11.981787682722263</v>
      </c>
      <c r="N102">
        <f t="shared" ca="1" si="32"/>
        <v>8060.547967090024</v>
      </c>
      <c r="O102">
        <f t="shared" ca="1" si="33"/>
        <v>8028.5965332694304</v>
      </c>
      <c r="P102">
        <f t="shared" ca="1" si="34"/>
        <v>44.332614426072368</v>
      </c>
      <c r="Q102">
        <f t="shared" ca="1" si="35"/>
        <v>27.158718747503794</v>
      </c>
      <c r="R102">
        <f t="shared" ca="1" si="36"/>
        <v>22.366003674414888</v>
      </c>
      <c r="S102">
        <f t="shared" ca="1" si="37"/>
        <v>9.1860372234204011</v>
      </c>
      <c r="T102">
        <f t="shared" ca="1" si="38"/>
        <v>14.378145219266715</v>
      </c>
      <c r="U102">
        <f t="shared" ca="1" si="39"/>
        <v>7.9878584551481744</v>
      </c>
    </row>
    <row r="103" spans="1:21" x14ac:dyDescent="0.3">
      <c r="A103" t="s">
        <v>10</v>
      </c>
      <c r="B103">
        <v>2</v>
      </c>
      <c r="C103">
        <v>250394</v>
      </c>
      <c r="D103">
        <v>270562</v>
      </c>
      <c r="E103">
        <v>270482</v>
      </c>
      <c r="F103">
        <v>250491</v>
      </c>
      <c r="G103">
        <v>250435</v>
      </c>
      <c r="H103">
        <v>250425</v>
      </c>
      <c r="I103">
        <v>250425</v>
      </c>
      <c r="J103">
        <v>250427</v>
      </c>
      <c r="K103">
        <v>250380</v>
      </c>
      <c r="L103">
        <f t="shared" ca="1" si="30"/>
        <v>250380</v>
      </c>
      <c r="M103">
        <f t="shared" ca="1" si="31"/>
        <v>5.5915009186037219</v>
      </c>
      <c r="N103">
        <f t="shared" ca="1" si="32"/>
        <v>8060.547967090024</v>
      </c>
      <c r="O103">
        <f t="shared" ca="1" si="33"/>
        <v>8028.5965332694304</v>
      </c>
      <c r="P103">
        <f t="shared" ca="1" si="34"/>
        <v>44.332614426072368</v>
      </c>
      <c r="Q103">
        <f t="shared" ca="1" si="35"/>
        <v>21.96661075165748</v>
      </c>
      <c r="R103">
        <f t="shared" ca="1" si="36"/>
        <v>17.972681524083395</v>
      </c>
      <c r="S103">
        <f t="shared" ca="1" si="37"/>
        <v>17.972681524083395</v>
      </c>
      <c r="T103">
        <f t="shared" ca="1" si="38"/>
        <v>18.771467369598209</v>
      </c>
      <c r="U103">
        <f t="shared" ca="1" si="39"/>
        <v>0</v>
      </c>
    </row>
    <row r="104" spans="1:21" x14ac:dyDescent="0.3">
      <c r="A104" t="s">
        <v>50</v>
      </c>
      <c r="B104">
        <v>3</v>
      </c>
      <c r="C104">
        <v>250395</v>
      </c>
      <c r="D104">
        <v>270562</v>
      </c>
      <c r="E104">
        <v>270482</v>
      </c>
      <c r="F104">
        <v>250491</v>
      </c>
      <c r="G104">
        <v>250426</v>
      </c>
      <c r="H104">
        <v>250424</v>
      </c>
      <c r="I104">
        <v>250403</v>
      </c>
      <c r="J104">
        <v>250419</v>
      </c>
      <c r="K104">
        <v>250403</v>
      </c>
      <c r="L104">
        <f t="shared" ca="1" si="30"/>
        <v>250380</v>
      </c>
      <c r="M104">
        <f t="shared" ca="1" si="31"/>
        <v>5.9908938413611317</v>
      </c>
      <c r="N104">
        <f t="shared" ca="1" si="32"/>
        <v>8060.547967090024</v>
      </c>
      <c r="O104">
        <f t="shared" ca="1" si="33"/>
        <v>8028.5965332694304</v>
      </c>
      <c r="P104">
        <f t="shared" ca="1" si="34"/>
        <v>44.332614426072368</v>
      </c>
      <c r="Q104">
        <f t="shared" ca="1" si="35"/>
        <v>18.372074446840802</v>
      </c>
      <c r="R104">
        <f t="shared" ca="1" si="36"/>
        <v>17.573288601325984</v>
      </c>
      <c r="S104">
        <f t="shared" ca="1" si="37"/>
        <v>9.1860372234204011</v>
      </c>
      <c r="T104">
        <f t="shared" ca="1" si="38"/>
        <v>15.576323987538942</v>
      </c>
      <c r="U104">
        <f t="shared" ca="1" si="39"/>
        <v>9.1860372234204011</v>
      </c>
    </row>
    <row r="105" spans="1:21" x14ac:dyDescent="0.3">
      <c r="A105" t="s">
        <v>50</v>
      </c>
      <c r="B105">
        <v>4</v>
      </c>
      <c r="C105">
        <v>250400</v>
      </c>
      <c r="D105">
        <v>270562</v>
      </c>
      <c r="E105">
        <v>270482</v>
      </c>
      <c r="F105">
        <v>250491</v>
      </c>
      <c r="G105">
        <v>250398</v>
      </c>
      <c r="H105">
        <v>250448</v>
      </c>
      <c r="I105">
        <v>250414</v>
      </c>
      <c r="J105">
        <v>250401</v>
      </c>
      <c r="K105">
        <v>250407</v>
      </c>
      <c r="L105">
        <f t="shared" ca="1" si="30"/>
        <v>250380</v>
      </c>
      <c r="M105">
        <f t="shared" ca="1" si="31"/>
        <v>7.9878584551481744</v>
      </c>
      <c r="N105">
        <f t="shared" ca="1" si="32"/>
        <v>8060.547967090024</v>
      </c>
      <c r="O105">
        <f t="shared" ca="1" si="33"/>
        <v>8028.5965332694304</v>
      </c>
      <c r="P105">
        <f t="shared" ca="1" si="34"/>
        <v>44.332614426072368</v>
      </c>
      <c r="Q105">
        <f t="shared" ca="1" si="35"/>
        <v>7.1890726096333575</v>
      </c>
      <c r="R105">
        <f t="shared" ca="1" si="36"/>
        <v>27.158718747503794</v>
      </c>
      <c r="S105">
        <f t="shared" ca="1" si="37"/>
        <v>13.579359373751897</v>
      </c>
      <c r="T105">
        <f t="shared" ca="1" si="38"/>
        <v>8.3872513779055833</v>
      </c>
      <c r="U105">
        <f t="shared" ca="1" si="39"/>
        <v>10.783608914450037</v>
      </c>
    </row>
    <row r="106" spans="1:21" x14ac:dyDescent="0.3">
      <c r="A106" t="s">
        <v>50</v>
      </c>
      <c r="B106">
        <v>5</v>
      </c>
      <c r="C106">
        <v>250420</v>
      </c>
      <c r="D106">
        <v>270562</v>
      </c>
      <c r="E106">
        <v>270482</v>
      </c>
      <c r="F106">
        <v>250491</v>
      </c>
      <c r="G106">
        <v>250484</v>
      </c>
      <c r="H106">
        <v>250406</v>
      </c>
      <c r="I106">
        <v>250400</v>
      </c>
      <c r="J106">
        <v>250387</v>
      </c>
      <c r="K106">
        <v>250418</v>
      </c>
      <c r="L106">
        <f t="shared" ca="1" si="30"/>
        <v>250380</v>
      </c>
      <c r="M106">
        <f t="shared" ca="1" si="31"/>
        <v>15.975716910296349</v>
      </c>
      <c r="N106">
        <f t="shared" ca="1" si="32"/>
        <v>8060.547967090024</v>
      </c>
      <c r="O106">
        <f t="shared" ca="1" si="33"/>
        <v>8028.5965332694304</v>
      </c>
      <c r="P106">
        <f t="shared" ca="1" si="34"/>
        <v>44.332614426072368</v>
      </c>
      <c r="Q106">
        <f t="shared" ca="1" si="35"/>
        <v>41.536863966770511</v>
      </c>
      <c r="R106">
        <f t="shared" ca="1" si="36"/>
        <v>10.384215991692628</v>
      </c>
      <c r="S106">
        <f t="shared" ca="1" si="37"/>
        <v>7.9878584551481744</v>
      </c>
      <c r="T106">
        <f t="shared" ca="1" si="38"/>
        <v>2.7957504593018609</v>
      </c>
      <c r="U106">
        <f t="shared" ca="1" si="39"/>
        <v>15.176931064781531</v>
      </c>
    </row>
    <row r="107" spans="1:21" x14ac:dyDescent="0.3">
      <c r="A107" t="s">
        <v>50</v>
      </c>
      <c r="B107">
        <v>6</v>
      </c>
      <c r="C107">
        <v>250416</v>
      </c>
      <c r="D107">
        <v>270562</v>
      </c>
      <c r="E107">
        <v>270482</v>
      </c>
      <c r="F107">
        <v>250491</v>
      </c>
      <c r="G107">
        <v>250407</v>
      </c>
      <c r="H107">
        <v>250442</v>
      </c>
      <c r="I107">
        <v>250406</v>
      </c>
      <c r="J107">
        <v>250398</v>
      </c>
      <c r="K107">
        <v>250404</v>
      </c>
      <c r="L107">
        <f t="shared" ca="1" si="30"/>
        <v>250380</v>
      </c>
      <c r="M107">
        <f t="shared" ca="1" si="31"/>
        <v>14.378145219266715</v>
      </c>
      <c r="N107">
        <f t="shared" ca="1" si="32"/>
        <v>8060.547967090024</v>
      </c>
      <c r="O107">
        <f t="shared" ca="1" si="33"/>
        <v>8028.5965332694304</v>
      </c>
      <c r="P107">
        <f t="shared" ca="1" si="34"/>
        <v>44.332614426072368</v>
      </c>
      <c r="Q107">
        <f t="shared" ca="1" si="35"/>
        <v>10.783608914450037</v>
      </c>
      <c r="R107">
        <f t="shared" ca="1" si="36"/>
        <v>24.762361210959341</v>
      </c>
      <c r="S107">
        <f t="shared" ca="1" si="37"/>
        <v>10.384215991692628</v>
      </c>
      <c r="T107">
        <f t="shared" ca="1" si="38"/>
        <v>7.1890726096333575</v>
      </c>
      <c r="U107">
        <f t="shared" ca="1" si="39"/>
        <v>9.58543014617781</v>
      </c>
    </row>
    <row r="108" spans="1:21" x14ac:dyDescent="0.3">
      <c r="A108" t="s">
        <v>50</v>
      </c>
      <c r="B108">
        <v>7</v>
      </c>
      <c r="C108">
        <v>250382</v>
      </c>
      <c r="D108">
        <v>270562</v>
      </c>
      <c r="E108">
        <v>270482</v>
      </c>
      <c r="F108">
        <v>250491</v>
      </c>
      <c r="G108">
        <v>250445</v>
      </c>
      <c r="H108">
        <v>250427</v>
      </c>
      <c r="I108">
        <v>250388</v>
      </c>
      <c r="J108">
        <v>250413</v>
      </c>
      <c r="K108">
        <v>250385</v>
      </c>
      <c r="L108">
        <f t="shared" ca="1" si="30"/>
        <v>250380</v>
      </c>
      <c r="M108">
        <f t="shared" ca="1" si="31"/>
        <v>0.79878584551481746</v>
      </c>
      <c r="N108">
        <f t="shared" ca="1" si="32"/>
        <v>8060.547967090024</v>
      </c>
      <c r="O108">
        <f t="shared" ca="1" si="33"/>
        <v>8028.5965332694304</v>
      </c>
      <c r="P108">
        <f t="shared" ca="1" si="34"/>
        <v>44.332614426072368</v>
      </c>
      <c r="Q108">
        <f t="shared" ca="1" si="35"/>
        <v>25.960539979231569</v>
      </c>
      <c r="R108">
        <f t="shared" ca="1" si="36"/>
        <v>18.771467369598209</v>
      </c>
      <c r="S108">
        <f t="shared" ca="1" si="37"/>
        <v>3.1951433820592698</v>
      </c>
      <c r="T108">
        <f t="shared" ca="1" si="38"/>
        <v>13.17996645099449</v>
      </c>
      <c r="U108">
        <f t="shared" ca="1" si="39"/>
        <v>1.9969646137870436</v>
      </c>
    </row>
    <row r="109" spans="1:21" x14ac:dyDescent="0.3">
      <c r="A109" t="s">
        <v>50</v>
      </c>
      <c r="B109">
        <v>8</v>
      </c>
      <c r="C109">
        <v>250406</v>
      </c>
      <c r="D109">
        <v>270562</v>
      </c>
      <c r="E109">
        <v>270482</v>
      </c>
      <c r="F109">
        <v>250491</v>
      </c>
      <c r="G109">
        <v>250421</v>
      </c>
      <c r="H109">
        <v>250407</v>
      </c>
      <c r="I109">
        <v>250413</v>
      </c>
      <c r="J109">
        <v>250383</v>
      </c>
      <c r="K109">
        <v>250405</v>
      </c>
      <c r="L109">
        <f t="shared" ca="1" si="30"/>
        <v>250380</v>
      </c>
      <c r="M109">
        <f t="shared" ca="1" si="31"/>
        <v>10.384215991692628</v>
      </c>
      <c r="N109">
        <f t="shared" ca="1" si="32"/>
        <v>8060.547967090024</v>
      </c>
      <c r="O109">
        <f t="shared" ca="1" si="33"/>
        <v>8028.5965332694304</v>
      </c>
      <c r="P109">
        <f t="shared" ca="1" si="34"/>
        <v>44.332614426072368</v>
      </c>
      <c r="Q109">
        <f t="shared" ca="1" si="35"/>
        <v>16.375109833053756</v>
      </c>
      <c r="R109">
        <f t="shared" ca="1" si="36"/>
        <v>10.783608914450037</v>
      </c>
      <c r="S109">
        <f t="shared" ca="1" si="37"/>
        <v>13.17996645099449</v>
      </c>
      <c r="T109">
        <f t="shared" ca="1" si="38"/>
        <v>1.1981787682722262</v>
      </c>
      <c r="U109">
        <f t="shared" ca="1" si="39"/>
        <v>9.9848230689352171</v>
      </c>
    </row>
    <row r="110" spans="1:21" x14ac:dyDescent="0.3">
      <c r="A110" t="s">
        <v>50</v>
      </c>
      <c r="B110">
        <v>9</v>
      </c>
      <c r="C110">
        <v>250415</v>
      </c>
      <c r="D110">
        <v>270562</v>
      </c>
      <c r="E110">
        <v>270482</v>
      </c>
      <c r="F110">
        <v>250491</v>
      </c>
      <c r="G110">
        <v>250445</v>
      </c>
      <c r="H110">
        <v>250392</v>
      </c>
      <c r="I110">
        <v>250439</v>
      </c>
      <c r="J110">
        <v>250403</v>
      </c>
      <c r="K110">
        <v>250418</v>
      </c>
      <c r="L110">
        <f t="shared" ca="1" si="30"/>
        <v>250380</v>
      </c>
      <c r="M110">
        <f t="shared" ca="1" si="31"/>
        <v>13.978752296509304</v>
      </c>
      <c r="N110">
        <f t="shared" ca="1" si="32"/>
        <v>8060.547967090024</v>
      </c>
      <c r="O110">
        <f t="shared" ca="1" si="33"/>
        <v>8028.5965332694304</v>
      </c>
      <c r="P110">
        <f t="shared" ca="1" si="34"/>
        <v>44.332614426072368</v>
      </c>
      <c r="Q110">
        <f t="shared" ca="1" si="35"/>
        <v>25.960539979231569</v>
      </c>
      <c r="R110">
        <f t="shared" ca="1" si="36"/>
        <v>4.792715073088905</v>
      </c>
      <c r="S110">
        <f t="shared" ca="1" si="37"/>
        <v>23.564182442687116</v>
      </c>
      <c r="T110">
        <f t="shared" ca="1" si="38"/>
        <v>9.1860372234204011</v>
      </c>
      <c r="U110">
        <f t="shared" ca="1" si="39"/>
        <v>15.176931064781531</v>
      </c>
    </row>
    <row r="111" spans="1:21" x14ac:dyDescent="0.3">
      <c r="A111" t="s">
        <v>50</v>
      </c>
      <c r="B111">
        <v>10</v>
      </c>
      <c r="C111">
        <v>250384</v>
      </c>
      <c r="D111">
        <v>270562</v>
      </c>
      <c r="E111">
        <v>270482</v>
      </c>
      <c r="F111">
        <v>250491</v>
      </c>
      <c r="G111">
        <v>250447</v>
      </c>
      <c r="H111">
        <v>250436</v>
      </c>
      <c r="I111">
        <v>250402</v>
      </c>
      <c r="J111">
        <v>250384</v>
      </c>
      <c r="K111">
        <v>250381</v>
      </c>
      <c r="L111">
        <f t="shared" ca="1" si="30"/>
        <v>250380</v>
      </c>
      <c r="M111">
        <f t="shared" ca="1" si="31"/>
        <v>1.5975716910296349</v>
      </c>
      <c r="N111">
        <f t="shared" ca="1" si="32"/>
        <v>8060.547967090024</v>
      </c>
      <c r="O111">
        <f t="shared" ca="1" si="33"/>
        <v>8028.5965332694304</v>
      </c>
      <c r="P111">
        <f t="shared" ca="1" si="34"/>
        <v>44.332614426072368</v>
      </c>
      <c r="Q111">
        <f t="shared" ca="1" si="35"/>
        <v>26.759325824746384</v>
      </c>
      <c r="R111">
        <f t="shared" ca="1" si="36"/>
        <v>22.366003674414888</v>
      </c>
      <c r="S111">
        <f t="shared" ca="1" si="37"/>
        <v>8.7866443006629922</v>
      </c>
      <c r="T111">
        <f t="shared" ca="1" si="38"/>
        <v>1.5975716910296349</v>
      </c>
      <c r="U111">
        <f t="shared" ca="1" si="39"/>
        <v>0.39939292275740873</v>
      </c>
    </row>
    <row r="112" spans="1:21" x14ac:dyDescent="0.3">
      <c r="A112" t="s">
        <v>11</v>
      </c>
      <c r="B112">
        <v>1</v>
      </c>
      <c r="C112">
        <v>210179</v>
      </c>
      <c r="D112">
        <v>230163</v>
      </c>
      <c r="E112">
        <v>230220</v>
      </c>
      <c r="F112">
        <v>210203</v>
      </c>
      <c r="G112">
        <v>210182</v>
      </c>
      <c r="H112">
        <v>210173</v>
      </c>
      <c r="I112">
        <v>210193</v>
      </c>
      <c r="J112">
        <v>210174</v>
      </c>
      <c r="K112">
        <v>210190</v>
      </c>
      <c r="L112">
        <f t="shared" ca="1" si="30"/>
        <v>210163</v>
      </c>
      <c r="M112">
        <f t="shared" ca="1" si="31"/>
        <v>7.6131383735481508</v>
      </c>
      <c r="N112">
        <f t="shared" ca="1" si="32"/>
        <v>9516.422966935188</v>
      </c>
      <c r="O112">
        <f t="shared" ca="1" si="33"/>
        <v>9543.5447723909529</v>
      </c>
      <c r="P112">
        <f t="shared" ca="1" si="34"/>
        <v>19.032845933870377</v>
      </c>
      <c r="Q112">
        <f t="shared" ca="1" si="35"/>
        <v>9.0406018185884278</v>
      </c>
      <c r="R112">
        <f t="shared" ca="1" si="36"/>
        <v>4.7582114834675941</v>
      </c>
      <c r="S112">
        <f t="shared" ca="1" si="37"/>
        <v>14.274634450402784</v>
      </c>
      <c r="T112">
        <f t="shared" ca="1" si="38"/>
        <v>5.2340326318143537</v>
      </c>
      <c r="U112">
        <f t="shared" ca="1" si="39"/>
        <v>12.847171005362503</v>
      </c>
    </row>
    <row r="113" spans="1:21" x14ac:dyDescent="0.3">
      <c r="A113" t="s">
        <v>11</v>
      </c>
      <c r="B113">
        <v>2</v>
      </c>
      <c r="C113">
        <v>210179</v>
      </c>
      <c r="D113">
        <v>230163</v>
      </c>
      <c r="E113">
        <v>230220</v>
      </c>
      <c r="F113">
        <v>210203</v>
      </c>
      <c r="G113">
        <v>210182</v>
      </c>
      <c r="H113">
        <v>210169</v>
      </c>
      <c r="I113">
        <v>210172</v>
      </c>
      <c r="J113">
        <v>210184</v>
      </c>
      <c r="K113">
        <v>210182</v>
      </c>
      <c r="L113">
        <f t="shared" ca="1" si="30"/>
        <v>210163</v>
      </c>
      <c r="M113">
        <f t="shared" ca="1" si="31"/>
        <v>7.6131383735481508</v>
      </c>
      <c r="N113">
        <f t="shared" ca="1" si="32"/>
        <v>9516.422966935188</v>
      </c>
      <c r="O113">
        <f t="shared" ca="1" si="33"/>
        <v>9543.5447723909529</v>
      </c>
      <c r="P113">
        <f t="shared" ca="1" si="34"/>
        <v>19.032845933870377</v>
      </c>
      <c r="Q113">
        <f t="shared" ca="1" si="35"/>
        <v>9.0406018185884278</v>
      </c>
      <c r="R113">
        <f t="shared" ca="1" si="36"/>
        <v>2.8549268900805562</v>
      </c>
      <c r="S113">
        <f t="shared" ca="1" si="37"/>
        <v>4.2823903351208354</v>
      </c>
      <c r="T113">
        <f t="shared" ca="1" si="38"/>
        <v>9.9922441152819488</v>
      </c>
      <c r="U113">
        <f t="shared" ca="1" si="39"/>
        <v>9.0406018185884278</v>
      </c>
    </row>
    <row r="114" spans="1:21" x14ac:dyDescent="0.3">
      <c r="A114" t="s">
        <v>51</v>
      </c>
      <c r="B114">
        <v>3</v>
      </c>
      <c r="C114">
        <v>210180</v>
      </c>
      <c r="D114">
        <v>230163</v>
      </c>
      <c r="E114">
        <v>230220</v>
      </c>
      <c r="F114">
        <v>210203</v>
      </c>
      <c r="G114">
        <v>210178</v>
      </c>
      <c r="H114">
        <v>210163</v>
      </c>
      <c r="I114">
        <v>210189</v>
      </c>
      <c r="J114">
        <v>210193</v>
      </c>
      <c r="K114">
        <v>210187</v>
      </c>
      <c r="L114">
        <f t="shared" ca="1" si="30"/>
        <v>210163</v>
      </c>
      <c r="M114">
        <f t="shared" ca="1" si="31"/>
        <v>8.0889595218949086</v>
      </c>
      <c r="N114">
        <f t="shared" ca="1" si="32"/>
        <v>9516.422966935188</v>
      </c>
      <c r="O114">
        <f t="shared" ca="1" si="33"/>
        <v>9543.5447723909529</v>
      </c>
      <c r="P114">
        <f t="shared" ca="1" si="34"/>
        <v>19.032845933870377</v>
      </c>
      <c r="Q114">
        <f t="shared" ca="1" si="35"/>
        <v>7.1373172252013921</v>
      </c>
      <c r="R114">
        <f t="shared" ca="1" si="36"/>
        <v>0</v>
      </c>
      <c r="S114">
        <f t="shared" ca="1" si="37"/>
        <v>12.371349857015746</v>
      </c>
      <c r="T114">
        <f t="shared" ca="1" si="38"/>
        <v>14.274634450402784</v>
      </c>
      <c r="U114">
        <f t="shared" ca="1" si="39"/>
        <v>11.419707560322225</v>
      </c>
    </row>
    <row r="115" spans="1:21" x14ac:dyDescent="0.3">
      <c r="A115" t="s">
        <v>51</v>
      </c>
      <c r="B115">
        <v>4</v>
      </c>
      <c r="C115">
        <v>210197</v>
      </c>
      <c r="D115">
        <v>230163</v>
      </c>
      <c r="E115">
        <v>230220</v>
      </c>
      <c r="F115">
        <v>210203</v>
      </c>
      <c r="G115">
        <v>210177</v>
      </c>
      <c r="H115">
        <v>210164</v>
      </c>
      <c r="I115">
        <v>210183</v>
      </c>
      <c r="J115">
        <v>210186</v>
      </c>
      <c r="K115">
        <v>210203</v>
      </c>
      <c r="L115">
        <f t="shared" ca="1" si="30"/>
        <v>210163</v>
      </c>
      <c r="M115">
        <f t="shared" ca="1" si="31"/>
        <v>16.177919043789817</v>
      </c>
      <c r="N115">
        <f t="shared" ca="1" si="32"/>
        <v>9516.422966935188</v>
      </c>
      <c r="O115">
        <f t="shared" ca="1" si="33"/>
        <v>9543.5447723909529</v>
      </c>
      <c r="P115">
        <f t="shared" ca="1" si="34"/>
        <v>19.032845933870377</v>
      </c>
      <c r="Q115">
        <f t="shared" ca="1" si="35"/>
        <v>6.6614960768546316</v>
      </c>
      <c r="R115">
        <f t="shared" ca="1" si="36"/>
        <v>0.47582114834675943</v>
      </c>
      <c r="S115">
        <f t="shared" ca="1" si="37"/>
        <v>9.5164229669351883</v>
      </c>
      <c r="T115">
        <f t="shared" ca="1" si="38"/>
        <v>10.943886411975466</v>
      </c>
      <c r="U115">
        <f t="shared" ca="1" si="39"/>
        <v>19.032845933870377</v>
      </c>
    </row>
    <row r="116" spans="1:21" x14ac:dyDescent="0.3">
      <c r="A116" t="s">
        <v>51</v>
      </c>
      <c r="B116">
        <v>5</v>
      </c>
      <c r="C116">
        <v>210180</v>
      </c>
      <c r="D116">
        <v>230163</v>
      </c>
      <c r="E116">
        <v>230220</v>
      </c>
      <c r="F116">
        <v>210203</v>
      </c>
      <c r="G116">
        <v>210171</v>
      </c>
      <c r="H116">
        <v>210174</v>
      </c>
      <c r="I116">
        <v>210198</v>
      </c>
      <c r="J116">
        <v>210181</v>
      </c>
      <c r="K116">
        <v>210181</v>
      </c>
      <c r="L116">
        <f t="shared" ca="1" si="30"/>
        <v>210163</v>
      </c>
      <c r="M116">
        <f t="shared" ca="1" si="31"/>
        <v>8.0889595218949086</v>
      </c>
      <c r="N116">
        <f t="shared" ca="1" si="32"/>
        <v>9516.422966935188</v>
      </c>
      <c r="O116">
        <f t="shared" ca="1" si="33"/>
        <v>9543.5447723909529</v>
      </c>
      <c r="P116">
        <f t="shared" ca="1" si="34"/>
        <v>19.032845933870377</v>
      </c>
      <c r="Q116">
        <f t="shared" ca="1" si="35"/>
        <v>3.8065691867740754</v>
      </c>
      <c r="R116">
        <f t="shared" ca="1" si="36"/>
        <v>5.2340326318143537</v>
      </c>
      <c r="S116">
        <f t="shared" ca="1" si="37"/>
        <v>16.653740192136578</v>
      </c>
      <c r="T116">
        <f t="shared" ca="1" si="38"/>
        <v>8.5647806702416709</v>
      </c>
      <c r="U116">
        <f t="shared" ca="1" si="39"/>
        <v>8.5647806702416709</v>
      </c>
    </row>
    <row r="117" spans="1:21" x14ac:dyDescent="0.3">
      <c r="A117" t="s">
        <v>51</v>
      </c>
      <c r="B117">
        <v>6</v>
      </c>
      <c r="C117">
        <v>210169</v>
      </c>
      <c r="D117">
        <v>230163</v>
      </c>
      <c r="E117">
        <v>230220</v>
      </c>
      <c r="F117">
        <v>210203</v>
      </c>
      <c r="G117">
        <v>210189</v>
      </c>
      <c r="H117">
        <v>210170</v>
      </c>
      <c r="I117">
        <v>210190</v>
      </c>
      <c r="J117">
        <v>210192</v>
      </c>
      <c r="K117">
        <v>210176</v>
      </c>
      <c r="L117">
        <f t="shared" ca="1" si="30"/>
        <v>210163</v>
      </c>
      <c r="M117">
        <f t="shared" ca="1" si="31"/>
        <v>2.8549268900805562</v>
      </c>
      <c r="N117">
        <f t="shared" ca="1" si="32"/>
        <v>9516.422966935188</v>
      </c>
      <c r="O117">
        <f t="shared" ca="1" si="33"/>
        <v>9543.5447723909529</v>
      </c>
      <c r="P117">
        <f t="shared" ca="1" si="34"/>
        <v>19.032845933870377</v>
      </c>
      <c r="Q117">
        <f t="shared" ca="1" si="35"/>
        <v>12.371349857015746</v>
      </c>
      <c r="R117">
        <f t="shared" ca="1" si="36"/>
        <v>3.3307480384273158</v>
      </c>
      <c r="S117">
        <f t="shared" ca="1" si="37"/>
        <v>12.847171005362503</v>
      </c>
      <c r="T117">
        <f t="shared" ca="1" si="38"/>
        <v>13.798813302056022</v>
      </c>
      <c r="U117">
        <f t="shared" ca="1" si="39"/>
        <v>6.1856749285078729</v>
      </c>
    </row>
    <row r="118" spans="1:21" x14ac:dyDescent="0.3">
      <c r="A118" t="s">
        <v>51</v>
      </c>
      <c r="B118">
        <v>7</v>
      </c>
      <c r="C118">
        <v>210188</v>
      </c>
      <c r="D118">
        <v>230163</v>
      </c>
      <c r="E118">
        <v>230220</v>
      </c>
      <c r="F118">
        <v>210203</v>
      </c>
      <c r="G118">
        <v>210169</v>
      </c>
      <c r="H118">
        <v>210178</v>
      </c>
      <c r="I118">
        <v>210205</v>
      </c>
      <c r="J118">
        <v>210193</v>
      </c>
      <c r="K118">
        <v>210199</v>
      </c>
      <c r="L118">
        <f t="shared" ca="1" si="30"/>
        <v>210163</v>
      </c>
      <c r="M118">
        <f t="shared" ca="1" si="31"/>
        <v>11.895528708668985</v>
      </c>
      <c r="N118">
        <f t="shared" ca="1" si="32"/>
        <v>9516.422966935188</v>
      </c>
      <c r="O118">
        <f t="shared" ca="1" si="33"/>
        <v>9543.5447723909529</v>
      </c>
      <c r="P118">
        <f t="shared" ca="1" si="34"/>
        <v>19.032845933870377</v>
      </c>
      <c r="Q118">
        <f t="shared" ca="1" si="35"/>
        <v>2.8549268900805562</v>
      </c>
      <c r="R118">
        <f t="shared" ca="1" si="36"/>
        <v>7.1373172252013921</v>
      </c>
      <c r="S118">
        <f t="shared" ca="1" si="37"/>
        <v>19.984488230563898</v>
      </c>
      <c r="T118">
        <f t="shared" ca="1" si="38"/>
        <v>14.274634450402784</v>
      </c>
      <c r="U118">
        <f t="shared" ca="1" si="39"/>
        <v>17.129561340483342</v>
      </c>
    </row>
    <row r="119" spans="1:21" x14ac:dyDescent="0.3">
      <c r="A119" t="s">
        <v>51</v>
      </c>
      <c r="B119">
        <v>8</v>
      </c>
      <c r="C119">
        <v>210174</v>
      </c>
      <c r="D119">
        <v>230163</v>
      </c>
      <c r="E119">
        <v>230220</v>
      </c>
      <c r="F119">
        <v>210203</v>
      </c>
      <c r="G119">
        <v>210174</v>
      </c>
      <c r="H119">
        <v>210169</v>
      </c>
      <c r="I119">
        <v>210183</v>
      </c>
      <c r="J119">
        <v>210182</v>
      </c>
      <c r="K119">
        <v>210185</v>
      </c>
      <c r="L119">
        <f t="shared" ca="1" si="30"/>
        <v>210163</v>
      </c>
      <c r="M119">
        <f t="shared" ca="1" si="31"/>
        <v>5.2340326318143537</v>
      </c>
      <c r="N119">
        <f t="shared" ca="1" si="32"/>
        <v>9516.422966935188</v>
      </c>
      <c r="O119">
        <f t="shared" ca="1" si="33"/>
        <v>9543.5447723909529</v>
      </c>
      <c r="P119">
        <f t="shared" ca="1" si="34"/>
        <v>19.032845933870377</v>
      </c>
      <c r="Q119">
        <f t="shared" ca="1" si="35"/>
        <v>5.2340326318143537</v>
      </c>
      <c r="R119">
        <f t="shared" ca="1" si="36"/>
        <v>2.8549268900805562</v>
      </c>
      <c r="S119">
        <f t="shared" ca="1" si="37"/>
        <v>9.5164229669351883</v>
      </c>
      <c r="T119">
        <f t="shared" ca="1" si="38"/>
        <v>9.0406018185884278</v>
      </c>
      <c r="U119">
        <f t="shared" ca="1" si="39"/>
        <v>10.468065263628707</v>
      </c>
    </row>
    <row r="120" spans="1:21" x14ac:dyDescent="0.3">
      <c r="A120" t="s">
        <v>51</v>
      </c>
      <c r="B120">
        <v>9</v>
      </c>
      <c r="C120">
        <v>210181</v>
      </c>
      <c r="D120">
        <v>230163</v>
      </c>
      <c r="E120">
        <v>230220</v>
      </c>
      <c r="F120">
        <v>210203</v>
      </c>
      <c r="G120">
        <v>210188</v>
      </c>
      <c r="H120">
        <v>210164</v>
      </c>
      <c r="I120">
        <v>210182</v>
      </c>
      <c r="J120">
        <v>210180</v>
      </c>
      <c r="K120">
        <v>210184</v>
      </c>
      <c r="L120">
        <f t="shared" ca="1" si="30"/>
        <v>210163</v>
      </c>
      <c r="M120">
        <f t="shared" ca="1" si="31"/>
        <v>8.5647806702416709</v>
      </c>
      <c r="N120">
        <f t="shared" ca="1" si="32"/>
        <v>9516.422966935188</v>
      </c>
      <c r="O120">
        <f t="shared" ca="1" si="33"/>
        <v>9543.5447723909529</v>
      </c>
      <c r="P120">
        <f t="shared" ca="1" si="34"/>
        <v>19.032845933870377</v>
      </c>
      <c r="Q120">
        <f t="shared" ca="1" si="35"/>
        <v>11.895528708668985</v>
      </c>
      <c r="R120">
        <f t="shared" ca="1" si="36"/>
        <v>0.47582114834675943</v>
      </c>
      <c r="S120">
        <f t="shared" ca="1" si="37"/>
        <v>9.0406018185884278</v>
      </c>
      <c r="T120">
        <f t="shared" ca="1" si="38"/>
        <v>8.0889595218949086</v>
      </c>
      <c r="U120">
        <f t="shared" ca="1" si="39"/>
        <v>9.9922441152819488</v>
      </c>
    </row>
    <row r="121" spans="1:21" x14ac:dyDescent="0.3">
      <c r="A121" t="s">
        <v>51</v>
      </c>
      <c r="B121">
        <v>10</v>
      </c>
      <c r="C121">
        <v>210172</v>
      </c>
      <c r="D121">
        <v>230163</v>
      </c>
      <c r="E121">
        <v>230220</v>
      </c>
      <c r="F121">
        <v>210203</v>
      </c>
      <c r="G121">
        <v>210163</v>
      </c>
      <c r="H121">
        <v>210169</v>
      </c>
      <c r="I121">
        <v>210184</v>
      </c>
      <c r="J121">
        <v>210181</v>
      </c>
      <c r="K121">
        <v>210183</v>
      </c>
      <c r="L121">
        <f t="shared" ca="1" si="30"/>
        <v>210163</v>
      </c>
      <c r="M121">
        <f t="shared" ca="1" si="31"/>
        <v>4.2823903351208354</v>
      </c>
      <c r="N121">
        <f t="shared" ca="1" si="32"/>
        <v>9516.422966935188</v>
      </c>
      <c r="O121">
        <f t="shared" ca="1" si="33"/>
        <v>9543.5447723909529</v>
      </c>
      <c r="P121">
        <f t="shared" ca="1" si="34"/>
        <v>19.032845933870377</v>
      </c>
      <c r="Q121">
        <f t="shared" ca="1" si="35"/>
        <v>0</v>
      </c>
      <c r="R121">
        <f t="shared" ca="1" si="36"/>
        <v>2.8549268900805562</v>
      </c>
      <c r="S121">
        <f t="shared" ca="1" si="37"/>
        <v>9.9922441152819488</v>
      </c>
      <c r="T121">
        <f t="shared" ca="1" si="38"/>
        <v>8.5647806702416709</v>
      </c>
      <c r="U121">
        <f t="shared" ca="1" si="39"/>
        <v>9.5164229669351883</v>
      </c>
    </row>
    <row r="122" spans="1:21" x14ac:dyDescent="0.3">
      <c r="A122" t="s">
        <v>61</v>
      </c>
      <c r="B122">
        <v>1</v>
      </c>
      <c r="C122">
        <v>210341</v>
      </c>
      <c r="D122">
        <v>250468</v>
      </c>
      <c r="E122">
        <v>250533</v>
      </c>
      <c r="F122">
        <v>210531</v>
      </c>
      <c r="G122">
        <v>210342</v>
      </c>
      <c r="H122">
        <v>210375</v>
      </c>
      <c r="I122">
        <v>210369</v>
      </c>
      <c r="J122">
        <v>210364</v>
      </c>
      <c r="K122">
        <v>210343</v>
      </c>
      <c r="L122">
        <f t="shared" ca="1" si="30"/>
        <v>210331</v>
      </c>
      <c r="M122">
        <f t="shared" ca="1" si="31"/>
        <v>4.7544109047168508</v>
      </c>
      <c r="N122">
        <f t="shared" ca="1" si="32"/>
        <v>19082.779048262026</v>
      </c>
      <c r="O122">
        <f t="shared" ca="1" si="33"/>
        <v>19113.682719142686</v>
      </c>
      <c r="P122">
        <f t="shared" ca="1" si="34"/>
        <v>95.088218094337023</v>
      </c>
      <c r="Q122">
        <f t="shared" ca="1" si="35"/>
        <v>5.2298519951885361</v>
      </c>
      <c r="R122">
        <f t="shared" ca="1" si="36"/>
        <v>20.919407980754144</v>
      </c>
      <c r="S122">
        <f t="shared" ca="1" si="37"/>
        <v>18.066761437924036</v>
      </c>
      <c r="T122">
        <f t="shared" ca="1" si="38"/>
        <v>15.68955598556561</v>
      </c>
      <c r="U122">
        <f t="shared" ca="1" si="39"/>
        <v>5.7052930856602213</v>
      </c>
    </row>
    <row r="123" spans="1:21" x14ac:dyDescent="0.3">
      <c r="A123" t="s">
        <v>61</v>
      </c>
      <c r="B123">
        <v>2</v>
      </c>
      <c r="C123">
        <v>210346</v>
      </c>
      <c r="D123">
        <v>250468</v>
      </c>
      <c r="E123">
        <v>250533</v>
      </c>
      <c r="F123">
        <v>210531</v>
      </c>
      <c r="G123">
        <v>210380</v>
      </c>
      <c r="H123">
        <v>210337</v>
      </c>
      <c r="I123">
        <v>210397</v>
      </c>
      <c r="J123">
        <v>210343</v>
      </c>
      <c r="K123">
        <v>210345</v>
      </c>
      <c r="L123">
        <f t="shared" ca="1" si="30"/>
        <v>210331</v>
      </c>
      <c r="M123">
        <f t="shared" ca="1" si="31"/>
        <v>7.1316163570752762</v>
      </c>
      <c r="N123">
        <f t="shared" ca="1" si="32"/>
        <v>19082.779048262026</v>
      </c>
      <c r="O123">
        <f t="shared" ca="1" si="33"/>
        <v>19113.682719142686</v>
      </c>
      <c r="P123">
        <f t="shared" ca="1" si="34"/>
        <v>95.088218094337023</v>
      </c>
      <c r="Q123">
        <f t="shared" ca="1" si="35"/>
        <v>23.296613433112572</v>
      </c>
      <c r="R123">
        <f t="shared" ca="1" si="36"/>
        <v>2.8526465428301107</v>
      </c>
      <c r="S123">
        <f t="shared" ca="1" si="37"/>
        <v>31.37911197113122</v>
      </c>
      <c r="T123">
        <f t="shared" ca="1" si="38"/>
        <v>5.7052930856602213</v>
      </c>
      <c r="U123">
        <f t="shared" ca="1" si="39"/>
        <v>6.6561752666035918</v>
      </c>
    </row>
    <row r="124" spans="1:21" x14ac:dyDescent="0.3">
      <c r="A124" t="s">
        <v>12</v>
      </c>
      <c r="B124">
        <v>3</v>
      </c>
      <c r="C124">
        <v>210334</v>
      </c>
      <c r="D124">
        <v>250468</v>
      </c>
      <c r="E124">
        <v>250533</v>
      </c>
      <c r="F124">
        <v>210531</v>
      </c>
      <c r="G124">
        <v>210350</v>
      </c>
      <c r="H124">
        <v>210405</v>
      </c>
      <c r="I124">
        <v>210388</v>
      </c>
      <c r="J124">
        <v>210352</v>
      </c>
      <c r="K124">
        <v>210331</v>
      </c>
      <c r="L124">
        <f t="shared" ca="1" si="30"/>
        <v>210331</v>
      </c>
      <c r="M124">
        <f t="shared" ca="1" si="31"/>
        <v>1.4263232714150553</v>
      </c>
      <c r="N124">
        <f t="shared" ca="1" si="32"/>
        <v>19082.779048262026</v>
      </c>
      <c r="O124">
        <f t="shared" ca="1" si="33"/>
        <v>19113.682719142686</v>
      </c>
      <c r="P124">
        <f t="shared" ca="1" si="34"/>
        <v>95.088218094337023</v>
      </c>
      <c r="Q124">
        <f t="shared" ca="1" si="35"/>
        <v>9.0333807189620181</v>
      </c>
      <c r="R124">
        <f t="shared" ca="1" si="36"/>
        <v>35.182640694904698</v>
      </c>
      <c r="S124">
        <f t="shared" ca="1" si="37"/>
        <v>27.100142156886051</v>
      </c>
      <c r="T124">
        <f t="shared" ca="1" si="38"/>
        <v>9.9842628999053868</v>
      </c>
      <c r="U124">
        <f t="shared" ca="1" si="39"/>
        <v>0</v>
      </c>
    </row>
    <row r="125" spans="1:21" x14ac:dyDescent="0.3">
      <c r="A125" t="s">
        <v>12</v>
      </c>
      <c r="B125">
        <v>4</v>
      </c>
      <c r="C125">
        <v>210363</v>
      </c>
      <c r="D125">
        <v>250468</v>
      </c>
      <c r="E125">
        <v>250533</v>
      </c>
      <c r="F125">
        <v>210531</v>
      </c>
      <c r="G125">
        <v>210347</v>
      </c>
      <c r="H125">
        <v>210344</v>
      </c>
      <c r="I125">
        <v>210384</v>
      </c>
      <c r="J125">
        <v>210355</v>
      </c>
      <c r="K125">
        <v>210359</v>
      </c>
      <c r="L125">
        <f t="shared" ca="1" si="30"/>
        <v>210331</v>
      </c>
      <c r="M125">
        <f t="shared" ca="1" si="31"/>
        <v>15.214114895093923</v>
      </c>
      <c r="N125">
        <f t="shared" ca="1" si="32"/>
        <v>19082.779048262026</v>
      </c>
      <c r="O125">
        <f t="shared" ca="1" si="33"/>
        <v>19113.682719142686</v>
      </c>
      <c r="P125">
        <f t="shared" ca="1" si="34"/>
        <v>95.088218094337023</v>
      </c>
      <c r="Q125">
        <f t="shared" ca="1" si="35"/>
        <v>7.6070574475469614</v>
      </c>
      <c r="R125">
        <f t="shared" ca="1" si="36"/>
        <v>6.1807341761319066</v>
      </c>
      <c r="S125">
        <f t="shared" ca="1" si="37"/>
        <v>25.19837779499931</v>
      </c>
      <c r="T125">
        <f t="shared" ca="1" si="38"/>
        <v>11.410586171320443</v>
      </c>
      <c r="U125">
        <f t="shared" ca="1" si="39"/>
        <v>13.312350533207184</v>
      </c>
    </row>
    <row r="126" spans="1:21" x14ac:dyDescent="0.3">
      <c r="A126" t="s">
        <v>12</v>
      </c>
      <c r="B126">
        <v>5</v>
      </c>
      <c r="C126">
        <v>210360</v>
      </c>
      <c r="D126">
        <v>250468</v>
      </c>
      <c r="E126">
        <v>250533</v>
      </c>
      <c r="F126">
        <v>210531</v>
      </c>
      <c r="G126">
        <v>210380</v>
      </c>
      <c r="H126">
        <v>210355</v>
      </c>
      <c r="I126">
        <v>210361</v>
      </c>
      <c r="J126">
        <v>210341</v>
      </c>
      <c r="K126">
        <v>210356</v>
      </c>
      <c r="L126">
        <f t="shared" ca="1" si="30"/>
        <v>210331</v>
      </c>
      <c r="M126">
        <f t="shared" ca="1" si="31"/>
        <v>13.787791623678867</v>
      </c>
      <c r="N126">
        <f t="shared" ca="1" si="32"/>
        <v>19082.779048262026</v>
      </c>
      <c r="O126">
        <f t="shared" ca="1" si="33"/>
        <v>19113.682719142686</v>
      </c>
      <c r="P126">
        <f t="shared" ca="1" si="34"/>
        <v>95.088218094337023</v>
      </c>
      <c r="Q126">
        <f t="shared" ca="1" si="35"/>
        <v>23.296613433112572</v>
      </c>
      <c r="R126">
        <f t="shared" ca="1" si="36"/>
        <v>11.410586171320443</v>
      </c>
      <c r="S126">
        <f t="shared" ca="1" si="37"/>
        <v>14.263232714150552</v>
      </c>
      <c r="T126">
        <f t="shared" ca="1" si="38"/>
        <v>4.7544109047168508</v>
      </c>
      <c r="U126">
        <f t="shared" ca="1" si="39"/>
        <v>11.886027261792128</v>
      </c>
    </row>
    <row r="127" spans="1:21" x14ac:dyDescent="0.3">
      <c r="A127" t="s">
        <v>12</v>
      </c>
      <c r="B127">
        <v>6</v>
      </c>
      <c r="C127">
        <v>210343</v>
      </c>
      <c r="D127">
        <v>250468</v>
      </c>
      <c r="E127">
        <v>250533</v>
      </c>
      <c r="F127">
        <v>210531</v>
      </c>
      <c r="G127">
        <v>210357</v>
      </c>
      <c r="H127">
        <v>210340</v>
      </c>
      <c r="I127">
        <v>210382</v>
      </c>
      <c r="J127">
        <v>210366</v>
      </c>
      <c r="K127">
        <v>210344</v>
      </c>
      <c r="L127">
        <f t="shared" ca="1" si="30"/>
        <v>210331</v>
      </c>
      <c r="M127">
        <f t="shared" ca="1" si="31"/>
        <v>5.7052930856602213</v>
      </c>
      <c r="N127">
        <f t="shared" ca="1" si="32"/>
        <v>19082.779048262026</v>
      </c>
      <c r="O127">
        <f t="shared" ca="1" si="33"/>
        <v>19113.682719142686</v>
      </c>
      <c r="P127">
        <f t="shared" ca="1" si="34"/>
        <v>95.088218094337023</v>
      </c>
      <c r="Q127">
        <f t="shared" ca="1" si="35"/>
        <v>12.361468352263813</v>
      </c>
      <c r="R127">
        <f t="shared" ca="1" si="36"/>
        <v>4.2789698142451655</v>
      </c>
      <c r="S127">
        <f t="shared" ca="1" si="37"/>
        <v>24.247495614055939</v>
      </c>
      <c r="T127">
        <f t="shared" ca="1" si="38"/>
        <v>16.640438166508982</v>
      </c>
      <c r="U127">
        <f t="shared" ca="1" si="39"/>
        <v>6.1807341761319066</v>
      </c>
    </row>
    <row r="128" spans="1:21" x14ac:dyDescent="0.3">
      <c r="A128" t="s">
        <v>12</v>
      </c>
      <c r="B128">
        <v>7</v>
      </c>
      <c r="C128">
        <v>210360</v>
      </c>
      <c r="D128">
        <v>250468</v>
      </c>
      <c r="E128">
        <v>250533</v>
      </c>
      <c r="F128">
        <v>210531</v>
      </c>
      <c r="G128">
        <v>210343</v>
      </c>
      <c r="H128">
        <v>210350</v>
      </c>
      <c r="I128">
        <v>210419</v>
      </c>
      <c r="J128">
        <v>210355</v>
      </c>
      <c r="K128">
        <v>210358</v>
      </c>
      <c r="L128">
        <f t="shared" ca="1" si="30"/>
        <v>210331</v>
      </c>
      <c r="M128">
        <f t="shared" ca="1" si="31"/>
        <v>13.787791623678867</v>
      </c>
      <c r="N128">
        <f t="shared" ca="1" si="32"/>
        <v>19082.779048262026</v>
      </c>
      <c r="O128">
        <f t="shared" ca="1" si="33"/>
        <v>19113.682719142686</v>
      </c>
      <c r="P128">
        <f t="shared" ca="1" si="34"/>
        <v>95.088218094337023</v>
      </c>
      <c r="Q128">
        <f t="shared" ca="1" si="35"/>
        <v>5.7052930856602213</v>
      </c>
      <c r="R128">
        <f t="shared" ca="1" si="36"/>
        <v>9.0333807189620181</v>
      </c>
      <c r="S128">
        <f t="shared" ca="1" si="37"/>
        <v>41.838815961508288</v>
      </c>
      <c r="T128">
        <f t="shared" ca="1" si="38"/>
        <v>11.410586171320443</v>
      </c>
      <c r="U128">
        <f t="shared" ca="1" si="39"/>
        <v>12.8369094427355</v>
      </c>
    </row>
    <row r="129" spans="1:21" x14ac:dyDescent="0.3">
      <c r="A129" t="s">
        <v>12</v>
      </c>
      <c r="B129">
        <v>8</v>
      </c>
      <c r="C129">
        <v>210341</v>
      </c>
      <c r="D129">
        <v>250468</v>
      </c>
      <c r="E129">
        <v>250533</v>
      </c>
      <c r="F129">
        <v>210531</v>
      </c>
      <c r="G129">
        <v>210369</v>
      </c>
      <c r="H129">
        <v>210355</v>
      </c>
      <c r="I129">
        <v>210393</v>
      </c>
      <c r="J129">
        <v>210341</v>
      </c>
      <c r="K129">
        <v>210345</v>
      </c>
      <c r="L129">
        <f t="shared" ca="1" si="30"/>
        <v>210331</v>
      </c>
      <c r="M129">
        <f t="shared" ca="1" si="31"/>
        <v>4.7544109047168508</v>
      </c>
      <c r="N129">
        <f t="shared" ca="1" si="32"/>
        <v>19082.779048262026</v>
      </c>
      <c r="O129">
        <f t="shared" ca="1" si="33"/>
        <v>19113.682719142686</v>
      </c>
      <c r="P129">
        <f t="shared" ca="1" si="34"/>
        <v>95.088218094337023</v>
      </c>
      <c r="Q129">
        <f t="shared" ca="1" si="35"/>
        <v>18.066761437924036</v>
      </c>
      <c r="R129">
        <f t="shared" ca="1" si="36"/>
        <v>11.410586171320443</v>
      </c>
      <c r="S129">
        <f t="shared" ca="1" si="37"/>
        <v>29.477347609244479</v>
      </c>
      <c r="T129">
        <f t="shared" ca="1" si="38"/>
        <v>4.7544109047168508</v>
      </c>
      <c r="U129">
        <f t="shared" ca="1" si="39"/>
        <v>6.6561752666035918</v>
      </c>
    </row>
    <row r="130" spans="1:21" x14ac:dyDescent="0.3">
      <c r="A130" t="s">
        <v>12</v>
      </c>
      <c r="B130">
        <v>9</v>
      </c>
      <c r="C130">
        <v>210340</v>
      </c>
      <c r="D130">
        <v>250468</v>
      </c>
      <c r="E130">
        <v>250533</v>
      </c>
      <c r="F130">
        <v>210531</v>
      </c>
      <c r="G130">
        <v>210357</v>
      </c>
      <c r="H130">
        <v>210355</v>
      </c>
      <c r="I130">
        <v>210365</v>
      </c>
      <c r="J130">
        <v>210354</v>
      </c>
      <c r="K130">
        <v>210339</v>
      </c>
      <c r="L130">
        <f t="shared" ca="1" si="30"/>
        <v>210331</v>
      </c>
      <c r="M130">
        <f t="shared" ca="1" si="31"/>
        <v>4.2789698142451655</v>
      </c>
      <c r="N130">
        <f t="shared" ca="1" si="32"/>
        <v>19082.779048262026</v>
      </c>
      <c r="O130">
        <f t="shared" ca="1" si="33"/>
        <v>19113.682719142686</v>
      </c>
      <c r="P130">
        <f t="shared" ca="1" si="34"/>
        <v>95.088218094337023</v>
      </c>
      <c r="Q130">
        <f t="shared" ca="1" si="35"/>
        <v>12.361468352263813</v>
      </c>
      <c r="R130">
        <f t="shared" ca="1" si="36"/>
        <v>11.410586171320443</v>
      </c>
      <c r="S130">
        <f t="shared" ca="1" si="37"/>
        <v>16.164997076037295</v>
      </c>
      <c r="T130">
        <f t="shared" ca="1" si="38"/>
        <v>10.935145080848757</v>
      </c>
      <c r="U130">
        <f t="shared" ca="1" si="39"/>
        <v>3.8035287237734807</v>
      </c>
    </row>
    <row r="131" spans="1:21" x14ac:dyDescent="0.3">
      <c r="A131" t="s">
        <v>12</v>
      </c>
      <c r="B131">
        <v>10</v>
      </c>
      <c r="C131">
        <v>210338</v>
      </c>
      <c r="D131">
        <v>250468</v>
      </c>
      <c r="E131">
        <v>250533</v>
      </c>
      <c r="F131">
        <v>210531</v>
      </c>
      <c r="G131">
        <v>210357</v>
      </c>
      <c r="H131">
        <v>210332</v>
      </c>
      <c r="I131">
        <v>210376</v>
      </c>
      <c r="J131">
        <v>210348</v>
      </c>
      <c r="K131">
        <v>210342</v>
      </c>
      <c r="L131">
        <f t="shared" ref="L131:L194" ca="1" si="40">MIN(INDIRECT("C" &amp; (10*INT((ROW()-2)/10)+2) &amp; ":K" &amp; (10*INT((ROW()-2)/10)+11)))</f>
        <v>210331</v>
      </c>
      <c r="M131">
        <f t="shared" ref="M131:M194" ca="1" si="41">(C131-$L131)/$L131*100*1000</f>
        <v>3.3280876333017959</v>
      </c>
      <c r="N131">
        <f t="shared" ref="N131:N194" ca="1" si="42">(D131-$L131)/$L131*100*1000</f>
        <v>19082.779048262026</v>
      </c>
      <c r="O131">
        <f t="shared" ref="O131:O194" ca="1" si="43">(E131-$L131)/$L131*100*1000</f>
        <v>19113.682719142686</v>
      </c>
      <c r="P131">
        <f t="shared" ref="P131:P194" ca="1" si="44">(F131-$L131)/$L131*100*1000</f>
        <v>95.088218094337023</v>
      </c>
      <c r="Q131">
        <f t="shared" ref="Q131:Q194" ca="1" si="45">(G131-$L131)/$L131*100*1000</f>
        <v>12.361468352263813</v>
      </c>
      <c r="R131">
        <f t="shared" ref="R131:R194" ca="1" si="46">(H131-$L131)/$L131*100*1000</f>
        <v>0.47544109047168509</v>
      </c>
      <c r="S131">
        <f t="shared" ref="S131:S194" ca="1" si="47">(I131-$L131)/$L131*100*1000</f>
        <v>21.394849071225831</v>
      </c>
      <c r="T131">
        <f t="shared" ref="T131:T194" ca="1" si="48">(J131-$L131)/$L131*100*1000</f>
        <v>8.0824985380186476</v>
      </c>
      <c r="U131">
        <f t="shared" ref="U131:U194" ca="1" si="49">(K131-$L131)/$L131*100*1000</f>
        <v>5.2298519951885361</v>
      </c>
    </row>
    <row r="132" spans="1:21" x14ac:dyDescent="0.3">
      <c r="A132" t="s">
        <v>62</v>
      </c>
      <c r="B132">
        <v>1</v>
      </c>
      <c r="C132">
        <v>260573</v>
      </c>
      <c r="D132">
        <v>300617</v>
      </c>
      <c r="E132">
        <v>300677</v>
      </c>
      <c r="F132">
        <v>270571</v>
      </c>
      <c r="G132">
        <v>270571</v>
      </c>
      <c r="H132">
        <v>270541</v>
      </c>
      <c r="I132">
        <v>260661</v>
      </c>
      <c r="J132">
        <v>260568</v>
      </c>
      <c r="K132">
        <v>260572</v>
      </c>
      <c r="L132">
        <f t="shared" ca="1" si="40"/>
        <v>260556</v>
      </c>
      <c r="M132">
        <f t="shared" ca="1" si="41"/>
        <v>6.5245091266368842</v>
      </c>
      <c r="N132">
        <f t="shared" ca="1" si="42"/>
        <v>15375.197654247073</v>
      </c>
      <c r="O132">
        <f t="shared" ca="1" si="43"/>
        <v>15398.225333517554</v>
      </c>
      <c r="P132">
        <f t="shared" ca="1" si="44"/>
        <v>3843.7034648981412</v>
      </c>
      <c r="Q132">
        <f t="shared" ca="1" si="45"/>
        <v>3843.7034648981412</v>
      </c>
      <c r="R132">
        <f t="shared" ca="1" si="46"/>
        <v>3832.1896252628999</v>
      </c>
      <c r="S132">
        <f t="shared" ca="1" si="47"/>
        <v>40.298438723345456</v>
      </c>
      <c r="T132">
        <f t="shared" ca="1" si="48"/>
        <v>4.6055358540966242</v>
      </c>
      <c r="U132">
        <f t="shared" ca="1" si="49"/>
        <v>6.1407144721288329</v>
      </c>
    </row>
    <row r="133" spans="1:21" x14ac:dyDescent="0.3">
      <c r="A133" t="s">
        <v>62</v>
      </c>
      <c r="B133">
        <v>2</v>
      </c>
      <c r="C133">
        <v>260579</v>
      </c>
      <c r="D133">
        <v>300617</v>
      </c>
      <c r="E133">
        <v>300677</v>
      </c>
      <c r="F133">
        <v>270571</v>
      </c>
      <c r="G133">
        <v>260597</v>
      </c>
      <c r="H133">
        <v>270553</v>
      </c>
      <c r="I133">
        <v>260682</v>
      </c>
      <c r="J133">
        <v>260600</v>
      </c>
      <c r="K133">
        <v>260583</v>
      </c>
      <c r="L133">
        <f t="shared" ca="1" si="40"/>
        <v>260556</v>
      </c>
      <c r="M133">
        <f t="shared" ca="1" si="41"/>
        <v>8.8272770536851972</v>
      </c>
      <c r="N133">
        <f t="shared" ca="1" si="42"/>
        <v>15375.197654247073</v>
      </c>
      <c r="O133">
        <f t="shared" ca="1" si="43"/>
        <v>15398.225333517554</v>
      </c>
      <c r="P133">
        <f t="shared" ca="1" si="44"/>
        <v>3843.7034648981412</v>
      </c>
      <c r="Q133">
        <f t="shared" ca="1" si="45"/>
        <v>15.735580834830131</v>
      </c>
      <c r="R133">
        <f t="shared" ca="1" si="46"/>
        <v>3836.7951611169956</v>
      </c>
      <c r="S133">
        <f t="shared" ca="1" si="47"/>
        <v>48.358126468014554</v>
      </c>
      <c r="T133">
        <f t="shared" ca="1" si="48"/>
        <v>16.886964798354288</v>
      </c>
      <c r="U133">
        <f t="shared" ca="1" si="49"/>
        <v>10.362455671717404</v>
      </c>
    </row>
    <row r="134" spans="1:21" x14ac:dyDescent="0.3">
      <c r="A134" t="s">
        <v>13</v>
      </c>
      <c r="B134">
        <v>3</v>
      </c>
      <c r="C134">
        <v>260562</v>
      </c>
      <c r="D134">
        <v>300617</v>
      </c>
      <c r="E134">
        <v>300677</v>
      </c>
      <c r="F134">
        <v>270571</v>
      </c>
      <c r="G134">
        <v>260608</v>
      </c>
      <c r="H134">
        <v>260603</v>
      </c>
      <c r="I134">
        <v>260642</v>
      </c>
      <c r="J134">
        <v>260585</v>
      </c>
      <c r="K134">
        <v>260565</v>
      </c>
      <c r="L134">
        <f t="shared" ca="1" si="40"/>
        <v>260556</v>
      </c>
      <c r="M134">
        <f t="shared" ca="1" si="41"/>
        <v>2.3027679270483121</v>
      </c>
      <c r="N134">
        <f t="shared" ca="1" si="42"/>
        <v>15375.197654247073</v>
      </c>
      <c r="O134">
        <f t="shared" ca="1" si="43"/>
        <v>15398.225333517554</v>
      </c>
      <c r="P134">
        <f t="shared" ca="1" si="44"/>
        <v>3843.7034648981412</v>
      </c>
      <c r="Q134">
        <f t="shared" ca="1" si="45"/>
        <v>19.957322034418702</v>
      </c>
      <c r="R134">
        <f t="shared" ca="1" si="46"/>
        <v>18.038348761878446</v>
      </c>
      <c r="S134">
        <f t="shared" ca="1" si="47"/>
        <v>33.006340287692467</v>
      </c>
      <c r="T134">
        <f t="shared" ca="1" si="48"/>
        <v>11.130044980733507</v>
      </c>
      <c r="U134">
        <f t="shared" ca="1" si="49"/>
        <v>3.4541518905724686</v>
      </c>
    </row>
    <row r="135" spans="1:21" x14ac:dyDescent="0.3">
      <c r="A135" t="s">
        <v>13</v>
      </c>
      <c r="B135">
        <v>4</v>
      </c>
      <c r="C135">
        <v>260609</v>
      </c>
      <c r="D135">
        <v>300617</v>
      </c>
      <c r="E135">
        <v>300677</v>
      </c>
      <c r="F135">
        <v>270571</v>
      </c>
      <c r="G135">
        <v>270545</v>
      </c>
      <c r="H135">
        <v>270540</v>
      </c>
      <c r="I135">
        <v>260574</v>
      </c>
      <c r="J135">
        <v>260603</v>
      </c>
      <c r="K135">
        <v>260613</v>
      </c>
      <c r="L135">
        <f t="shared" ca="1" si="40"/>
        <v>260556</v>
      </c>
      <c r="M135">
        <f t="shared" ca="1" si="41"/>
        <v>20.341116688926757</v>
      </c>
      <c r="N135">
        <f t="shared" ca="1" si="42"/>
        <v>15375.197654247073</v>
      </c>
      <c r="O135">
        <f t="shared" ca="1" si="43"/>
        <v>15398.225333517554</v>
      </c>
      <c r="P135">
        <f t="shared" ca="1" si="44"/>
        <v>3843.7034648981412</v>
      </c>
      <c r="Q135">
        <f t="shared" ca="1" si="45"/>
        <v>3833.7248038809312</v>
      </c>
      <c r="R135">
        <f t="shared" ca="1" si="46"/>
        <v>3831.8058306083913</v>
      </c>
      <c r="S135">
        <f t="shared" ca="1" si="47"/>
        <v>6.9083037811449373</v>
      </c>
      <c r="T135">
        <f t="shared" ca="1" si="48"/>
        <v>18.038348761878446</v>
      </c>
      <c r="U135">
        <f t="shared" ca="1" si="49"/>
        <v>21.876295306958966</v>
      </c>
    </row>
    <row r="136" spans="1:21" x14ac:dyDescent="0.3">
      <c r="A136" t="s">
        <v>13</v>
      </c>
      <c r="B136">
        <v>5</v>
      </c>
      <c r="C136">
        <v>260556</v>
      </c>
      <c r="D136">
        <v>300617</v>
      </c>
      <c r="E136">
        <v>300677</v>
      </c>
      <c r="F136">
        <v>270571</v>
      </c>
      <c r="G136">
        <v>260604</v>
      </c>
      <c r="H136">
        <v>270532</v>
      </c>
      <c r="I136">
        <v>260681</v>
      </c>
      <c r="J136">
        <v>260608</v>
      </c>
      <c r="K136">
        <v>260560</v>
      </c>
      <c r="L136">
        <f t="shared" ca="1" si="40"/>
        <v>260556</v>
      </c>
      <c r="M136">
        <f t="shared" ca="1" si="41"/>
        <v>0</v>
      </c>
      <c r="N136">
        <f t="shared" ca="1" si="42"/>
        <v>15375.197654247073</v>
      </c>
      <c r="O136">
        <f t="shared" ca="1" si="43"/>
        <v>15398.225333517554</v>
      </c>
      <c r="P136">
        <f t="shared" ca="1" si="44"/>
        <v>3843.7034648981412</v>
      </c>
      <c r="Q136">
        <f t="shared" ca="1" si="45"/>
        <v>18.422143416386497</v>
      </c>
      <c r="R136">
        <f t="shared" ca="1" si="46"/>
        <v>3828.7354733723269</v>
      </c>
      <c r="S136">
        <f t="shared" ca="1" si="47"/>
        <v>47.974331813506502</v>
      </c>
      <c r="T136">
        <f t="shared" ca="1" si="48"/>
        <v>19.957322034418702</v>
      </c>
      <c r="U136">
        <f t="shared" ca="1" si="49"/>
        <v>1.5351786180322082</v>
      </c>
    </row>
    <row r="137" spans="1:21" x14ac:dyDescent="0.3">
      <c r="A137" t="s">
        <v>13</v>
      </c>
      <c r="B137">
        <v>6</v>
      </c>
      <c r="C137">
        <v>260585</v>
      </c>
      <c r="D137">
        <v>300617</v>
      </c>
      <c r="E137">
        <v>300677</v>
      </c>
      <c r="F137">
        <v>270571</v>
      </c>
      <c r="G137">
        <v>270536</v>
      </c>
      <c r="H137">
        <v>270566</v>
      </c>
      <c r="I137">
        <v>260628</v>
      </c>
      <c r="J137">
        <v>260600</v>
      </c>
      <c r="K137">
        <v>260583</v>
      </c>
      <c r="L137">
        <f t="shared" ca="1" si="40"/>
        <v>260556</v>
      </c>
      <c r="M137">
        <f t="shared" ca="1" si="41"/>
        <v>11.130044980733507</v>
      </c>
      <c r="N137">
        <f t="shared" ca="1" si="42"/>
        <v>15375.197654247073</v>
      </c>
      <c r="O137">
        <f t="shared" ca="1" si="43"/>
        <v>15398.225333517554</v>
      </c>
      <c r="P137">
        <f t="shared" ca="1" si="44"/>
        <v>3843.7034648981412</v>
      </c>
      <c r="Q137">
        <f t="shared" ca="1" si="45"/>
        <v>3830.2706519903591</v>
      </c>
      <c r="R137">
        <f t="shared" ca="1" si="46"/>
        <v>3841.7844916256008</v>
      </c>
      <c r="S137">
        <f t="shared" ca="1" si="47"/>
        <v>27.633215124579749</v>
      </c>
      <c r="T137">
        <f t="shared" ca="1" si="48"/>
        <v>16.886964798354288</v>
      </c>
      <c r="U137">
        <f t="shared" ca="1" si="49"/>
        <v>10.362455671717404</v>
      </c>
    </row>
    <row r="138" spans="1:21" x14ac:dyDescent="0.3">
      <c r="A138" t="s">
        <v>13</v>
      </c>
      <c r="B138">
        <v>7</v>
      </c>
      <c r="C138">
        <v>260590</v>
      </c>
      <c r="D138">
        <v>300617</v>
      </c>
      <c r="E138">
        <v>300677</v>
      </c>
      <c r="F138">
        <v>270571</v>
      </c>
      <c r="G138">
        <v>260602</v>
      </c>
      <c r="H138">
        <v>270543</v>
      </c>
      <c r="I138">
        <v>260605</v>
      </c>
      <c r="J138">
        <v>260576</v>
      </c>
      <c r="K138">
        <v>260587</v>
      </c>
      <c r="L138">
        <f t="shared" ca="1" si="40"/>
        <v>260556</v>
      </c>
      <c r="M138">
        <f t="shared" ca="1" si="41"/>
        <v>13.049018253273768</v>
      </c>
      <c r="N138">
        <f t="shared" ca="1" si="42"/>
        <v>15375.197654247073</v>
      </c>
      <c r="O138">
        <f t="shared" ca="1" si="43"/>
        <v>15398.225333517554</v>
      </c>
      <c r="P138">
        <f t="shared" ca="1" si="44"/>
        <v>3843.7034648981412</v>
      </c>
      <c r="Q138">
        <f t="shared" ca="1" si="45"/>
        <v>17.654554107370394</v>
      </c>
      <c r="R138">
        <f t="shared" ca="1" si="46"/>
        <v>3832.9572145719153</v>
      </c>
      <c r="S138">
        <f t="shared" ca="1" si="47"/>
        <v>18.805938070894548</v>
      </c>
      <c r="T138">
        <f t="shared" ca="1" si="48"/>
        <v>7.6758930901610407</v>
      </c>
      <c r="U138">
        <f t="shared" ca="1" si="49"/>
        <v>11.897634289749613</v>
      </c>
    </row>
    <row r="139" spans="1:21" x14ac:dyDescent="0.3">
      <c r="A139" t="s">
        <v>13</v>
      </c>
      <c r="B139">
        <v>8</v>
      </c>
      <c r="C139">
        <v>260586</v>
      </c>
      <c r="D139">
        <v>300617</v>
      </c>
      <c r="E139">
        <v>300677</v>
      </c>
      <c r="F139">
        <v>270571</v>
      </c>
      <c r="G139">
        <v>260598</v>
      </c>
      <c r="H139">
        <v>260654</v>
      </c>
      <c r="I139">
        <v>260617</v>
      </c>
      <c r="J139">
        <v>260564</v>
      </c>
      <c r="K139">
        <v>260589</v>
      </c>
      <c r="L139">
        <f t="shared" ca="1" si="40"/>
        <v>260556</v>
      </c>
      <c r="M139">
        <f t="shared" ca="1" si="41"/>
        <v>11.51383963524156</v>
      </c>
      <c r="N139">
        <f t="shared" ca="1" si="42"/>
        <v>15375.197654247073</v>
      </c>
      <c r="O139">
        <f t="shared" ca="1" si="43"/>
        <v>15398.225333517554</v>
      </c>
      <c r="P139">
        <f t="shared" ca="1" si="44"/>
        <v>3843.7034648981412</v>
      </c>
      <c r="Q139">
        <f t="shared" ca="1" si="45"/>
        <v>16.119375489338182</v>
      </c>
      <c r="R139">
        <f t="shared" ca="1" si="46"/>
        <v>37.611876141789097</v>
      </c>
      <c r="S139">
        <f t="shared" ca="1" si="47"/>
        <v>23.411473924991174</v>
      </c>
      <c r="T139">
        <f t="shared" ca="1" si="48"/>
        <v>3.0703572360644165</v>
      </c>
      <c r="U139">
        <f t="shared" ca="1" si="49"/>
        <v>12.665223598765717</v>
      </c>
    </row>
    <row r="140" spans="1:21" x14ac:dyDescent="0.3">
      <c r="A140" t="s">
        <v>13</v>
      </c>
      <c r="B140">
        <v>9</v>
      </c>
      <c r="C140">
        <v>260583</v>
      </c>
      <c r="D140">
        <v>300617</v>
      </c>
      <c r="E140">
        <v>300677</v>
      </c>
      <c r="F140">
        <v>270571</v>
      </c>
      <c r="G140">
        <v>270536</v>
      </c>
      <c r="H140">
        <v>270536</v>
      </c>
      <c r="I140">
        <v>260584</v>
      </c>
      <c r="J140">
        <v>260604</v>
      </c>
      <c r="K140">
        <v>260589</v>
      </c>
      <c r="L140">
        <f t="shared" ca="1" si="40"/>
        <v>260556</v>
      </c>
      <c r="M140">
        <f t="shared" ca="1" si="41"/>
        <v>10.362455671717404</v>
      </c>
      <c r="N140">
        <f t="shared" ca="1" si="42"/>
        <v>15375.197654247073</v>
      </c>
      <c r="O140">
        <f t="shared" ca="1" si="43"/>
        <v>15398.225333517554</v>
      </c>
      <c r="P140">
        <f t="shared" ca="1" si="44"/>
        <v>3843.7034648981412</v>
      </c>
      <c r="Q140">
        <f t="shared" ca="1" si="45"/>
        <v>3830.2706519903591</v>
      </c>
      <c r="R140">
        <f t="shared" ca="1" si="46"/>
        <v>3830.2706519903591</v>
      </c>
      <c r="S140">
        <f t="shared" ca="1" si="47"/>
        <v>10.746250326225457</v>
      </c>
      <c r="T140">
        <f t="shared" ca="1" si="48"/>
        <v>18.422143416386497</v>
      </c>
      <c r="U140">
        <f t="shared" ca="1" si="49"/>
        <v>12.665223598765717</v>
      </c>
    </row>
    <row r="141" spans="1:21" x14ac:dyDescent="0.3">
      <c r="A141" t="s">
        <v>13</v>
      </c>
      <c r="B141">
        <v>10</v>
      </c>
      <c r="C141">
        <v>260566</v>
      </c>
      <c r="D141">
        <v>300617</v>
      </c>
      <c r="E141">
        <v>300677</v>
      </c>
      <c r="F141">
        <v>270571</v>
      </c>
      <c r="G141">
        <v>260594</v>
      </c>
      <c r="H141">
        <v>270518</v>
      </c>
      <c r="I141">
        <v>260641</v>
      </c>
      <c r="J141">
        <v>260611</v>
      </c>
      <c r="K141">
        <v>260579</v>
      </c>
      <c r="L141">
        <f t="shared" ca="1" si="40"/>
        <v>260556</v>
      </c>
      <c r="M141">
        <f t="shared" ca="1" si="41"/>
        <v>3.8379465450805204</v>
      </c>
      <c r="N141">
        <f t="shared" ca="1" si="42"/>
        <v>15375.197654247073</v>
      </c>
      <c r="O141">
        <f t="shared" ca="1" si="43"/>
        <v>15398.225333517554</v>
      </c>
      <c r="P141">
        <f t="shared" ca="1" si="44"/>
        <v>3843.7034648981412</v>
      </c>
      <c r="Q141">
        <f t="shared" ca="1" si="45"/>
        <v>14.584196871305975</v>
      </c>
      <c r="R141">
        <f t="shared" ca="1" si="46"/>
        <v>3823.3623482092139</v>
      </c>
      <c r="S141">
        <f t="shared" ca="1" si="47"/>
        <v>32.622545633184416</v>
      </c>
      <c r="T141">
        <f t="shared" ca="1" si="48"/>
        <v>21.108705997942863</v>
      </c>
      <c r="U141">
        <f t="shared" ca="1" si="49"/>
        <v>8.8272770536851972</v>
      </c>
    </row>
    <row r="142" spans="1:21" x14ac:dyDescent="0.3">
      <c r="A142" t="s">
        <v>63</v>
      </c>
      <c r="B142">
        <v>1</v>
      </c>
      <c r="C142">
        <v>190302</v>
      </c>
      <c r="D142">
        <v>210369</v>
      </c>
      <c r="E142">
        <v>210426</v>
      </c>
      <c r="F142">
        <v>190395</v>
      </c>
      <c r="G142">
        <v>190333</v>
      </c>
      <c r="H142">
        <v>190306</v>
      </c>
      <c r="I142">
        <v>190351</v>
      </c>
      <c r="J142">
        <v>190331</v>
      </c>
      <c r="K142">
        <v>190302</v>
      </c>
      <c r="L142">
        <f t="shared" ca="1" si="40"/>
        <v>190286</v>
      </c>
      <c r="M142">
        <f t="shared" ca="1" si="41"/>
        <v>8.4083957831895155</v>
      </c>
      <c r="N142">
        <f t="shared" ca="1" si="42"/>
        <v>10554.113282112188</v>
      </c>
      <c r="O142">
        <f t="shared" ca="1" si="43"/>
        <v>10584.068192089802</v>
      </c>
      <c r="P142">
        <f t="shared" ca="1" si="44"/>
        <v>57.282196272978574</v>
      </c>
      <c r="Q142">
        <f t="shared" ca="1" si="45"/>
        <v>24.699662613119202</v>
      </c>
      <c r="R142">
        <f t="shared" ca="1" si="46"/>
        <v>10.510494728986894</v>
      </c>
      <c r="S142">
        <f t="shared" ca="1" si="47"/>
        <v>34.159107869207403</v>
      </c>
      <c r="T142">
        <f t="shared" ca="1" si="48"/>
        <v>23.648613140220512</v>
      </c>
      <c r="U142">
        <f t="shared" ca="1" si="49"/>
        <v>8.4083957831895155</v>
      </c>
    </row>
    <row r="143" spans="1:21" x14ac:dyDescent="0.3">
      <c r="A143" t="s">
        <v>63</v>
      </c>
      <c r="B143">
        <v>2</v>
      </c>
      <c r="C143">
        <v>190300</v>
      </c>
      <c r="D143">
        <v>210369</v>
      </c>
      <c r="E143">
        <v>210426</v>
      </c>
      <c r="F143">
        <v>190395</v>
      </c>
      <c r="G143">
        <v>190295</v>
      </c>
      <c r="H143">
        <v>190288</v>
      </c>
      <c r="I143">
        <v>190324</v>
      </c>
      <c r="J143">
        <v>190297</v>
      </c>
      <c r="K143">
        <v>190313</v>
      </c>
      <c r="L143">
        <f t="shared" ca="1" si="40"/>
        <v>190286</v>
      </c>
      <c r="M143">
        <f t="shared" ca="1" si="41"/>
        <v>7.3573463102908256</v>
      </c>
      <c r="N143">
        <f t="shared" ca="1" si="42"/>
        <v>10554.113282112188</v>
      </c>
      <c r="O143">
        <f t="shared" ca="1" si="43"/>
        <v>10584.068192089802</v>
      </c>
      <c r="P143">
        <f t="shared" ca="1" si="44"/>
        <v>57.282196272978574</v>
      </c>
      <c r="Q143">
        <f t="shared" ca="1" si="45"/>
        <v>4.7297226280441018</v>
      </c>
      <c r="R143">
        <f t="shared" ca="1" si="46"/>
        <v>1.0510494728986894</v>
      </c>
      <c r="S143">
        <f t="shared" ca="1" si="47"/>
        <v>19.969939985075097</v>
      </c>
      <c r="T143">
        <f t="shared" ca="1" si="48"/>
        <v>5.7807721009427917</v>
      </c>
      <c r="U143">
        <f t="shared" ca="1" si="49"/>
        <v>14.189167884132305</v>
      </c>
    </row>
    <row r="144" spans="1:21" x14ac:dyDescent="0.3">
      <c r="A144" t="s">
        <v>14</v>
      </c>
      <c r="B144">
        <v>3</v>
      </c>
      <c r="C144">
        <v>190319</v>
      </c>
      <c r="D144">
        <v>210369</v>
      </c>
      <c r="E144">
        <v>210426</v>
      </c>
      <c r="F144">
        <v>190395</v>
      </c>
      <c r="G144">
        <v>190315</v>
      </c>
      <c r="H144">
        <v>190320</v>
      </c>
      <c r="I144">
        <v>190346</v>
      </c>
      <c r="J144">
        <v>190333</v>
      </c>
      <c r="K144">
        <v>190323</v>
      </c>
      <c r="L144">
        <f t="shared" ca="1" si="40"/>
        <v>190286</v>
      </c>
      <c r="M144">
        <f t="shared" ca="1" si="41"/>
        <v>17.342316302828372</v>
      </c>
      <c r="N144">
        <f t="shared" ca="1" si="42"/>
        <v>10554.113282112188</v>
      </c>
      <c r="O144">
        <f t="shared" ca="1" si="43"/>
        <v>10584.068192089802</v>
      </c>
      <c r="P144">
        <f t="shared" ca="1" si="44"/>
        <v>57.282196272978574</v>
      </c>
      <c r="Q144">
        <f t="shared" ca="1" si="45"/>
        <v>15.240217357030996</v>
      </c>
      <c r="R144">
        <f t="shared" ca="1" si="46"/>
        <v>17.867841039277717</v>
      </c>
      <c r="S144">
        <f t="shared" ca="1" si="47"/>
        <v>31.531484186960682</v>
      </c>
      <c r="T144">
        <f t="shared" ca="1" si="48"/>
        <v>24.699662613119202</v>
      </c>
      <c r="U144">
        <f t="shared" ca="1" si="49"/>
        <v>19.444415248625752</v>
      </c>
    </row>
    <row r="145" spans="1:21" x14ac:dyDescent="0.3">
      <c r="A145" t="s">
        <v>14</v>
      </c>
      <c r="B145">
        <v>4</v>
      </c>
      <c r="C145">
        <v>190321</v>
      </c>
      <c r="D145">
        <v>210369</v>
      </c>
      <c r="E145">
        <v>210426</v>
      </c>
      <c r="F145">
        <v>190395</v>
      </c>
      <c r="G145">
        <v>190374</v>
      </c>
      <c r="H145">
        <v>190327</v>
      </c>
      <c r="I145">
        <v>190344</v>
      </c>
      <c r="J145">
        <v>190319</v>
      </c>
      <c r="K145">
        <v>190330</v>
      </c>
      <c r="L145">
        <f t="shared" ca="1" si="40"/>
        <v>190286</v>
      </c>
      <c r="M145">
        <f t="shared" ca="1" si="41"/>
        <v>18.393365775727066</v>
      </c>
      <c r="N145">
        <f t="shared" ca="1" si="42"/>
        <v>10554.113282112188</v>
      </c>
      <c r="O145">
        <f t="shared" ca="1" si="43"/>
        <v>10584.068192089802</v>
      </c>
      <c r="P145">
        <f t="shared" ca="1" si="44"/>
        <v>57.282196272978574</v>
      </c>
      <c r="Q145">
        <f t="shared" ca="1" si="45"/>
        <v>46.246176807542334</v>
      </c>
      <c r="R145">
        <f t="shared" ca="1" si="46"/>
        <v>21.546514194423132</v>
      </c>
      <c r="S145">
        <f t="shared" ca="1" si="47"/>
        <v>30.480434714061992</v>
      </c>
      <c r="T145">
        <f t="shared" ca="1" si="48"/>
        <v>17.342316302828372</v>
      </c>
      <c r="U145">
        <f t="shared" ca="1" si="49"/>
        <v>23.123088403771167</v>
      </c>
    </row>
    <row r="146" spans="1:21" x14ac:dyDescent="0.3">
      <c r="A146" t="s">
        <v>14</v>
      </c>
      <c r="B146">
        <v>5</v>
      </c>
      <c r="C146">
        <v>190293</v>
      </c>
      <c r="D146">
        <v>210369</v>
      </c>
      <c r="E146">
        <v>210426</v>
      </c>
      <c r="F146">
        <v>190395</v>
      </c>
      <c r="G146">
        <v>190334</v>
      </c>
      <c r="H146">
        <v>190315</v>
      </c>
      <c r="I146">
        <v>190360</v>
      </c>
      <c r="J146">
        <v>190311</v>
      </c>
      <c r="K146">
        <v>190297</v>
      </c>
      <c r="L146">
        <f t="shared" ca="1" si="40"/>
        <v>190286</v>
      </c>
      <c r="M146">
        <f t="shared" ca="1" si="41"/>
        <v>3.6786731551454128</v>
      </c>
      <c r="N146">
        <f t="shared" ca="1" si="42"/>
        <v>10554.113282112188</v>
      </c>
      <c r="O146">
        <f t="shared" ca="1" si="43"/>
        <v>10584.068192089802</v>
      </c>
      <c r="P146">
        <f t="shared" ca="1" si="44"/>
        <v>57.282196272978574</v>
      </c>
      <c r="Q146">
        <f t="shared" ca="1" si="45"/>
        <v>25.225187349568543</v>
      </c>
      <c r="R146">
        <f t="shared" ca="1" si="46"/>
        <v>15.240217357030996</v>
      </c>
      <c r="S146">
        <f t="shared" ca="1" si="47"/>
        <v>38.888830497251504</v>
      </c>
      <c r="T146">
        <f t="shared" ca="1" si="48"/>
        <v>13.138118411233616</v>
      </c>
      <c r="U146">
        <f t="shared" ca="1" si="49"/>
        <v>5.7807721009427917</v>
      </c>
    </row>
    <row r="147" spans="1:21" x14ac:dyDescent="0.3">
      <c r="A147" t="s">
        <v>14</v>
      </c>
      <c r="B147">
        <v>6</v>
      </c>
      <c r="C147">
        <v>190322</v>
      </c>
      <c r="D147">
        <v>210369</v>
      </c>
      <c r="E147">
        <v>210426</v>
      </c>
      <c r="F147">
        <v>190395</v>
      </c>
      <c r="G147">
        <v>190302</v>
      </c>
      <c r="H147">
        <v>190321</v>
      </c>
      <c r="I147">
        <v>190333</v>
      </c>
      <c r="J147">
        <v>190309</v>
      </c>
      <c r="K147">
        <v>190326</v>
      </c>
      <c r="L147">
        <f t="shared" ca="1" si="40"/>
        <v>190286</v>
      </c>
      <c r="M147">
        <f t="shared" ca="1" si="41"/>
        <v>18.918890512176407</v>
      </c>
      <c r="N147">
        <f t="shared" ca="1" si="42"/>
        <v>10554.113282112188</v>
      </c>
      <c r="O147">
        <f t="shared" ca="1" si="43"/>
        <v>10584.068192089802</v>
      </c>
      <c r="P147">
        <f t="shared" ca="1" si="44"/>
        <v>57.282196272978574</v>
      </c>
      <c r="Q147">
        <f t="shared" ca="1" si="45"/>
        <v>8.4083957831895155</v>
      </c>
      <c r="R147">
        <f t="shared" ca="1" si="46"/>
        <v>18.393365775727066</v>
      </c>
      <c r="S147">
        <f t="shared" ca="1" si="47"/>
        <v>24.699662613119202</v>
      </c>
      <c r="T147">
        <f t="shared" ca="1" si="48"/>
        <v>12.087068938334928</v>
      </c>
      <c r="U147">
        <f t="shared" ca="1" si="49"/>
        <v>21.020989457973787</v>
      </c>
    </row>
    <row r="148" spans="1:21" x14ac:dyDescent="0.3">
      <c r="A148" t="s">
        <v>14</v>
      </c>
      <c r="B148">
        <v>7</v>
      </c>
      <c r="C148">
        <v>190296</v>
      </c>
      <c r="D148">
        <v>210369</v>
      </c>
      <c r="E148">
        <v>210426</v>
      </c>
      <c r="F148">
        <v>190395</v>
      </c>
      <c r="G148">
        <v>190346</v>
      </c>
      <c r="H148">
        <v>190319</v>
      </c>
      <c r="I148">
        <v>190311</v>
      </c>
      <c r="J148">
        <v>190314</v>
      </c>
      <c r="K148">
        <v>190306</v>
      </c>
      <c r="L148">
        <f t="shared" ca="1" si="40"/>
        <v>190286</v>
      </c>
      <c r="M148">
        <f t="shared" ca="1" si="41"/>
        <v>5.2552473644934468</v>
      </c>
      <c r="N148">
        <f t="shared" ca="1" si="42"/>
        <v>10554.113282112188</v>
      </c>
      <c r="O148">
        <f t="shared" ca="1" si="43"/>
        <v>10584.068192089802</v>
      </c>
      <c r="P148">
        <f t="shared" ca="1" si="44"/>
        <v>57.282196272978574</v>
      </c>
      <c r="Q148">
        <f t="shared" ca="1" si="45"/>
        <v>31.531484186960682</v>
      </c>
      <c r="R148">
        <f t="shared" ca="1" si="46"/>
        <v>17.342316302828372</v>
      </c>
      <c r="S148">
        <f t="shared" ca="1" si="47"/>
        <v>13.138118411233616</v>
      </c>
      <c r="T148">
        <f t="shared" ca="1" si="48"/>
        <v>14.714692620581651</v>
      </c>
      <c r="U148">
        <f t="shared" ca="1" si="49"/>
        <v>10.510494728986894</v>
      </c>
    </row>
    <row r="149" spans="1:21" x14ac:dyDescent="0.3">
      <c r="A149" t="s">
        <v>14</v>
      </c>
      <c r="B149">
        <v>8</v>
      </c>
      <c r="C149">
        <v>190299</v>
      </c>
      <c r="D149">
        <v>210369</v>
      </c>
      <c r="E149">
        <v>210426</v>
      </c>
      <c r="F149">
        <v>190395</v>
      </c>
      <c r="G149">
        <v>190290</v>
      </c>
      <c r="H149">
        <v>190286</v>
      </c>
      <c r="I149">
        <v>190325</v>
      </c>
      <c r="J149">
        <v>190344</v>
      </c>
      <c r="K149">
        <v>190306</v>
      </c>
      <c r="L149">
        <f t="shared" ca="1" si="40"/>
        <v>190286</v>
      </c>
      <c r="M149">
        <f t="shared" ca="1" si="41"/>
        <v>6.8318215738414816</v>
      </c>
      <c r="N149">
        <f t="shared" ca="1" si="42"/>
        <v>10554.113282112188</v>
      </c>
      <c r="O149">
        <f t="shared" ca="1" si="43"/>
        <v>10584.068192089802</v>
      </c>
      <c r="P149">
        <f t="shared" ca="1" si="44"/>
        <v>57.282196272978574</v>
      </c>
      <c r="Q149">
        <f t="shared" ca="1" si="45"/>
        <v>2.1020989457973789</v>
      </c>
      <c r="R149">
        <f t="shared" ca="1" si="46"/>
        <v>0</v>
      </c>
      <c r="S149">
        <f t="shared" ca="1" si="47"/>
        <v>20.495464721524442</v>
      </c>
      <c r="T149">
        <f t="shared" ca="1" si="48"/>
        <v>30.480434714061992</v>
      </c>
      <c r="U149">
        <f t="shared" ca="1" si="49"/>
        <v>10.510494728986894</v>
      </c>
    </row>
    <row r="150" spans="1:21" x14ac:dyDescent="0.3">
      <c r="A150" t="s">
        <v>14</v>
      </c>
      <c r="B150">
        <v>9</v>
      </c>
      <c r="C150">
        <v>190313</v>
      </c>
      <c r="D150">
        <v>210369</v>
      </c>
      <c r="E150">
        <v>210426</v>
      </c>
      <c r="F150">
        <v>190395</v>
      </c>
      <c r="G150">
        <v>190328</v>
      </c>
      <c r="H150">
        <v>190309</v>
      </c>
      <c r="I150">
        <v>190332</v>
      </c>
      <c r="J150">
        <v>190318</v>
      </c>
      <c r="K150">
        <v>190316</v>
      </c>
      <c r="L150">
        <f t="shared" ca="1" si="40"/>
        <v>190286</v>
      </c>
      <c r="M150">
        <f t="shared" ca="1" si="41"/>
        <v>14.189167884132305</v>
      </c>
      <c r="N150">
        <f t="shared" ca="1" si="42"/>
        <v>10554.113282112188</v>
      </c>
      <c r="O150">
        <f t="shared" ca="1" si="43"/>
        <v>10584.068192089802</v>
      </c>
      <c r="P150">
        <f t="shared" ca="1" si="44"/>
        <v>57.282196272978574</v>
      </c>
      <c r="Q150">
        <f t="shared" ca="1" si="45"/>
        <v>22.072038930872473</v>
      </c>
      <c r="R150">
        <f t="shared" ca="1" si="46"/>
        <v>12.087068938334928</v>
      </c>
      <c r="S150">
        <f t="shared" ca="1" si="47"/>
        <v>24.174137876669857</v>
      </c>
      <c r="T150">
        <f t="shared" ca="1" si="48"/>
        <v>16.816791566379031</v>
      </c>
      <c r="U150">
        <f t="shared" ca="1" si="49"/>
        <v>15.765742093480341</v>
      </c>
    </row>
    <row r="151" spans="1:21" x14ac:dyDescent="0.3">
      <c r="A151" t="s">
        <v>14</v>
      </c>
      <c r="B151">
        <v>10</v>
      </c>
      <c r="C151">
        <v>190293</v>
      </c>
      <c r="D151">
        <v>210369</v>
      </c>
      <c r="E151">
        <v>210426</v>
      </c>
      <c r="F151">
        <v>190395</v>
      </c>
      <c r="G151">
        <v>190325</v>
      </c>
      <c r="H151">
        <v>190298</v>
      </c>
      <c r="I151">
        <v>190333</v>
      </c>
      <c r="J151">
        <v>190320</v>
      </c>
      <c r="K151">
        <v>190297</v>
      </c>
      <c r="L151">
        <f t="shared" ca="1" si="40"/>
        <v>190286</v>
      </c>
      <c r="M151">
        <f t="shared" ca="1" si="41"/>
        <v>3.6786731551454128</v>
      </c>
      <c r="N151">
        <f t="shared" ca="1" si="42"/>
        <v>10554.113282112188</v>
      </c>
      <c r="O151">
        <f t="shared" ca="1" si="43"/>
        <v>10584.068192089802</v>
      </c>
      <c r="P151">
        <f t="shared" ca="1" si="44"/>
        <v>57.282196272978574</v>
      </c>
      <c r="Q151">
        <f t="shared" ca="1" si="45"/>
        <v>20.495464721524442</v>
      </c>
      <c r="R151">
        <f t="shared" ca="1" si="46"/>
        <v>6.3062968373921358</v>
      </c>
      <c r="S151">
        <f t="shared" ca="1" si="47"/>
        <v>24.699662613119202</v>
      </c>
      <c r="T151">
        <f t="shared" ca="1" si="48"/>
        <v>17.867841039277717</v>
      </c>
      <c r="U151">
        <f t="shared" ca="1" si="49"/>
        <v>5.7807721009427917</v>
      </c>
    </row>
    <row r="152" spans="1:21" x14ac:dyDescent="0.3">
      <c r="A152" t="s">
        <v>15</v>
      </c>
      <c r="B152">
        <v>1</v>
      </c>
      <c r="C152">
        <v>250408</v>
      </c>
      <c r="D152">
        <v>280393</v>
      </c>
      <c r="E152">
        <v>290481</v>
      </c>
      <c r="F152">
        <v>260503</v>
      </c>
      <c r="G152">
        <v>250437</v>
      </c>
      <c r="H152">
        <v>250440</v>
      </c>
      <c r="I152">
        <v>250435</v>
      </c>
      <c r="J152">
        <v>250423</v>
      </c>
      <c r="K152">
        <v>250421</v>
      </c>
      <c r="L152">
        <f t="shared" ca="1" si="40"/>
        <v>250406</v>
      </c>
      <c r="M152">
        <f t="shared" ca="1" si="41"/>
        <v>0.79870290647987674</v>
      </c>
      <c r="N152">
        <f t="shared" ca="1" si="42"/>
        <v>11975.352028306032</v>
      </c>
      <c r="O152">
        <f t="shared" ca="1" si="43"/>
        <v>16004.009488590529</v>
      </c>
      <c r="P152">
        <f t="shared" ca="1" si="44"/>
        <v>4032.251623363657</v>
      </c>
      <c r="Q152">
        <f t="shared" ca="1" si="45"/>
        <v>12.379895050438089</v>
      </c>
      <c r="R152">
        <f t="shared" ca="1" si="46"/>
        <v>13.577949410157903</v>
      </c>
      <c r="S152">
        <f t="shared" ca="1" si="47"/>
        <v>11.58119214395821</v>
      </c>
      <c r="T152">
        <f t="shared" ca="1" si="48"/>
        <v>6.7889747050789513</v>
      </c>
      <c r="U152">
        <f t="shared" ca="1" si="49"/>
        <v>5.9902717985990748</v>
      </c>
    </row>
    <row r="153" spans="1:21" x14ac:dyDescent="0.3">
      <c r="A153" t="s">
        <v>15</v>
      </c>
      <c r="B153">
        <v>2</v>
      </c>
      <c r="C153">
        <v>250407</v>
      </c>
      <c r="D153">
        <v>280393</v>
      </c>
      <c r="E153">
        <v>290481</v>
      </c>
      <c r="F153">
        <v>260503</v>
      </c>
      <c r="G153">
        <v>250425</v>
      </c>
      <c r="H153">
        <v>250406</v>
      </c>
      <c r="I153">
        <v>250434</v>
      </c>
      <c r="J153">
        <v>250448</v>
      </c>
      <c r="K153">
        <v>250414</v>
      </c>
      <c r="L153">
        <f t="shared" ca="1" si="40"/>
        <v>250406</v>
      </c>
      <c r="M153">
        <f t="shared" ca="1" si="41"/>
        <v>0.39935145323993837</v>
      </c>
      <c r="N153">
        <f t="shared" ca="1" si="42"/>
        <v>11975.352028306032</v>
      </c>
      <c r="O153">
        <f t="shared" ca="1" si="43"/>
        <v>16004.009488590529</v>
      </c>
      <c r="P153">
        <f t="shared" ca="1" si="44"/>
        <v>4032.251623363657</v>
      </c>
      <c r="Q153">
        <f t="shared" ca="1" si="45"/>
        <v>7.5876776115588287</v>
      </c>
      <c r="R153">
        <f t="shared" ca="1" si="46"/>
        <v>0</v>
      </c>
      <c r="S153">
        <f t="shared" ca="1" si="47"/>
        <v>11.181840690718273</v>
      </c>
      <c r="T153">
        <f t="shared" ca="1" si="48"/>
        <v>16.772761036077409</v>
      </c>
      <c r="U153">
        <f t="shared" ca="1" si="49"/>
        <v>3.194811625919507</v>
      </c>
    </row>
    <row r="154" spans="1:21" x14ac:dyDescent="0.3">
      <c r="A154" t="s">
        <v>52</v>
      </c>
      <c r="B154">
        <v>3</v>
      </c>
      <c r="C154">
        <v>250425</v>
      </c>
      <c r="D154">
        <v>280393</v>
      </c>
      <c r="E154">
        <v>290481</v>
      </c>
      <c r="F154">
        <v>260503</v>
      </c>
      <c r="G154">
        <v>250424</v>
      </c>
      <c r="H154">
        <v>250432</v>
      </c>
      <c r="I154">
        <v>250439</v>
      </c>
      <c r="J154">
        <v>250429</v>
      </c>
      <c r="K154">
        <v>250441</v>
      </c>
      <c r="L154">
        <f t="shared" ca="1" si="40"/>
        <v>250406</v>
      </c>
      <c r="M154">
        <f t="shared" ca="1" si="41"/>
        <v>7.5876776115588287</v>
      </c>
      <c r="N154">
        <f t="shared" ca="1" si="42"/>
        <v>11975.352028306032</v>
      </c>
      <c r="O154">
        <f t="shared" ca="1" si="43"/>
        <v>16004.009488590529</v>
      </c>
      <c r="P154">
        <f t="shared" ca="1" si="44"/>
        <v>4032.251623363657</v>
      </c>
      <c r="Q154">
        <f t="shared" ca="1" si="45"/>
        <v>7.1883261583188895</v>
      </c>
      <c r="R154">
        <f t="shared" ca="1" si="46"/>
        <v>10.383137784238397</v>
      </c>
      <c r="S154">
        <f t="shared" ca="1" si="47"/>
        <v>13.178597956917967</v>
      </c>
      <c r="T154">
        <f t="shared" ca="1" si="48"/>
        <v>9.1850834245185826</v>
      </c>
      <c r="U154">
        <f t="shared" ca="1" si="49"/>
        <v>13.977300863397842</v>
      </c>
    </row>
    <row r="155" spans="1:21" x14ac:dyDescent="0.3">
      <c r="A155" t="s">
        <v>52</v>
      </c>
      <c r="B155">
        <v>4</v>
      </c>
      <c r="C155">
        <v>250424</v>
      </c>
      <c r="D155">
        <v>280393</v>
      </c>
      <c r="E155">
        <v>290481</v>
      </c>
      <c r="F155">
        <v>260503</v>
      </c>
      <c r="G155">
        <v>250439</v>
      </c>
      <c r="H155">
        <v>250411</v>
      </c>
      <c r="I155">
        <v>250425</v>
      </c>
      <c r="J155">
        <v>250455</v>
      </c>
      <c r="K155">
        <v>250431</v>
      </c>
      <c r="L155">
        <f t="shared" ca="1" si="40"/>
        <v>250406</v>
      </c>
      <c r="M155">
        <f t="shared" ca="1" si="41"/>
        <v>7.1883261583188895</v>
      </c>
      <c r="N155">
        <f t="shared" ca="1" si="42"/>
        <v>11975.352028306032</v>
      </c>
      <c r="O155">
        <f t="shared" ca="1" si="43"/>
        <v>16004.009488590529</v>
      </c>
      <c r="P155">
        <f t="shared" ca="1" si="44"/>
        <v>4032.251623363657</v>
      </c>
      <c r="Q155">
        <f t="shared" ca="1" si="45"/>
        <v>13.178597956917967</v>
      </c>
      <c r="R155">
        <f t="shared" ca="1" si="46"/>
        <v>1.9967572661996917</v>
      </c>
      <c r="S155">
        <f t="shared" ca="1" si="47"/>
        <v>7.5876776115588287</v>
      </c>
      <c r="T155">
        <f t="shared" ca="1" si="48"/>
        <v>19.568221208756977</v>
      </c>
      <c r="U155">
        <f t="shared" ca="1" si="49"/>
        <v>9.9837863309984591</v>
      </c>
    </row>
    <row r="156" spans="1:21" x14ac:dyDescent="0.3">
      <c r="A156" t="s">
        <v>52</v>
      </c>
      <c r="B156">
        <v>5</v>
      </c>
      <c r="C156">
        <v>250416</v>
      </c>
      <c r="D156">
        <v>280393</v>
      </c>
      <c r="E156">
        <v>290481</v>
      </c>
      <c r="F156">
        <v>260503</v>
      </c>
      <c r="G156">
        <v>250437</v>
      </c>
      <c r="H156">
        <v>250460</v>
      </c>
      <c r="I156">
        <v>250465</v>
      </c>
      <c r="J156">
        <v>250418</v>
      </c>
      <c r="K156">
        <v>250421</v>
      </c>
      <c r="L156">
        <f t="shared" ca="1" si="40"/>
        <v>250406</v>
      </c>
      <c r="M156">
        <f t="shared" ca="1" si="41"/>
        <v>3.9935145323993835</v>
      </c>
      <c r="N156">
        <f t="shared" ca="1" si="42"/>
        <v>11975.352028306032</v>
      </c>
      <c r="O156">
        <f t="shared" ca="1" si="43"/>
        <v>16004.009488590529</v>
      </c>
      <c r="P156">
        <f t="shared" ca="1" si="44"/>
        <v>4032.251623363657</v>
      </c>
      <c r="Q156">
        <f t="shared" ca="1" si="45"/>
        <v>12.379895050438089</v>
      </c>
      <c r="R156">
        <f t="shared" ca="1" si="46"/>
        <v>21.564978474956671</v>
      </c>
      <c r="S156">
        <f t="shared" ca="1" si="47"/>
        <v>23.561735741156362</v>
      </c>
      <c r="T156">
        <f t="shared" ca="1" si="48"/>
        <v>4.7922174388792609</v>
      </c>
      <c r="U156">
        <f t="shared" ca="1" si="49"/>
        <v>5.9902717985990748</v>
      </c>
    </row>
    <row r="157" spans="1:21" x14ac:dyDescent="0.3">
      <c r="A157" t="s">
        <v>52</v>
      </c>
      <c r="B157">
        <v>6</v>
      </c>
      <c r="C157">
        <v>250416</v>
      </c>
      <c r="D157">
        <v>280393</v>
      </c>
      <c r="E157">
        <v>290481</v>
      </c>
      <c r="F157">
        <v>260503</v>
      </c>
      <c r="G157">
        <v>250414</v>
      </c>
      <c r="H157">
        <v>250444</v>
      </c>
      <c r="I157">
        <v>250453</v>
      </c>
      <c r="J157">
        <v>250419</v>
      </c>
      <c r="K157">
        <v>250422</v>
      </c>
      <c r="L157">
        <f t="shared" ca="1" si="40"/>
        <v>250406</v>
      </c>
      <c r="M157">
        <f t="shared" ca="1" si="41"/>
        <v>3.9935145323993835</v>
      </c>
      <c r="N157">
        <f t="shared" ca="1" si="42"/>
        <v>11975.352028306032</v>
      </c>
      <c r="O157">
        <f t="shared" ca="1" si="43"/>
        <v>16004.009488590529</v>
      </c>
      <c r="P157">
        <f t="shared" ca="1" si="44"/>
        <v>4032.251623363657</v>
      </c>
      <c r="Q157">
        <f t="shared" ca="1" si="45"/>
        <v>3.194811625919507</v>
      </c>
      <c r="R157">
        <f t="shared" ca="1" si="46"/>
        <v>15.175355223117657</v>
      </c>
      <c r="S157">
        <f t="shared" ca="1" si="47"/>
        <v>18.769518302277103</v>
      </c>
      <c r="T157">
        <f t="shared" ca="1" si="48"/>
        <v>5.1915688921191983</v>
      </c>
      <c r="U157">
        <f t="shared" ca="1" si="49"/>
        <v>6.3896232518390139</v>
      </c>
    </row>
    <row r="158" spans="1:21" x14ac:dyDescent="0.3">
      <c r="A158" t="s">
        <v>52</v>
      </c>
      <c r="B158">
        <v>7</v>
      </c>
      <c r="C158">
        <v>250416</v>
      </c>
      <c r="D158">
        <v>280393</v>
      </c>
      <c r="E158">
        <v>290481</v>
      </c>
      <c r="F158">
        <v>260503</v>
      </c>
      <c r="G158">
        <v>250440</v>
      </c>
      <c r="H158">
        <v>250465</v>
      </c>
      <c r="I158">
        <v>250442</v>
      </c>
      <c r="J158">
        <v>250434</v>
      </c>
      <c r="K158">
        <v>250438</v>
      </c>
      <c r="L158">
        <f t="shared" ca="1" si="40"/>
        <v>250406</v>
      </c>
      <c r="M158">
        <f t="shared" ca="1" si="41"/>
        <v>3.9935145323993835</v>
      </c>
      <c r="N158">
        <f t="shared" ca="1" si="42"/>
        <v>11975.352028306032</v>
      </c>
      <c r="O158">
        <f t="shared" ca="1" si="43"/>
        <v>16004.009488590529</v>
      </c>
      <c r="P158">
        <f t="shared" ca="1" si="44"/>
        <v>4032.251623363657</v>
      </c>
      <c r="Q158">
        <f t="shared" ca="1" si="45"/>
        <v>13.577949410157903</v>
      </c>
      <c r="R158">
        <f t="shared" ca="1" si="46"/>
        <v>23.561735741156362</v>
      </c>
      <c r="S158">
        <f t="shared" ca="1" si="47"/>
        <v>14.376652316637779</v>
      </c>
      <c r="T158">
        <f t="shared" ca="1" si="48"/>
        <v>11.181840690718273</v>
      </c>
      <c r="U158">
        <f t="shared" ca="1" si="49"/>
        <v>12.779246503678028</v>
      </c>
    </row>
    <row r="159" spans="1:21" x14ac:dyDescent="0.3">
      <c r="A159" t="s">
        <v>52</v>
      </c>
      <c r="B159">
        <v>8</v>
      </c>
      <c r="C159">
        <v>250416</v>
      </c>
      <c r="D159">
        <v>280393</v>
      </c>
      <c r="E159">
        <v>290481</v>
      </c>
      <c r="F159">
        <v>260503</v>
      </c>
      <c r="G159">
        <v>250407</v>
      </c>
      <c r="H159">
        <v>250418</v>
      </c>
      <c r="I159">
        <v>250430</v>
      </c>
      <c r="J159">
        <v>250421</v>
      </c>
      <c r="K159">
        <v>250435</v>
      </c>
      <c r="L159">
        <f t="shared" ca="1" si="40"/>
        <v>250406</v>
      </c>
      <c r="M159">
        <f t="shared" ca="1" si="41"/>
        <v>3.9935145323993835</v>
      </c>
      <c r="N159">
        <f t="shared" ca="1" si="42"/>
        <v>11975.352028306032</v>
      </c>
      <c r="O159">
        <f t="shared" ca="1" si="43"/>
        <v>16004.009488590529</v>
      </c>
      <c r="P159">
        <f t="shared" ca="1" si="44"/>
        <v>4032.251623363657</v>
      </c>
      <c r="Q159">
        <f t="shared" ca="1" si="45"/>
        <v>0.39935145323993837</v>
      </c>
      <c r="R159">
        <f t="shared" ca="1" si="46"/>
        <v>4.7922174388792609</v>
      </c>
      <c r="S159">
        <f t="shared" ca="1" si="47"/>
        <v>9.5844348777585218</v>
      </c>
      <c r="T159">
        <f t="shared" ca="1" si="48"/>
        <v>5.9902717985990748</v>
      </c>
      <c r="U159">
        <f t="shared" ca="1" si="49"/>
        <v>11.58119214395821</v>
      </c>
    </row>
    <row r="160" spans="1:21" x14ac:dyDescent="0.3">
      <c r="A160" t="s">
        <v>52</v>
      </c>
      <c r="B160">
        <v>9</v>
      </c>
      <c r="C160">
        <v>250418</v>
      </c>
      <c r="D160">
        <v>280393</v>
      </c>
      <c r="E160">
        <v>290481</v>
      </c>
      <c r="F160">
        <v>260503</v>
      </c>
      <c r="G160">
        <v>250415</v>
      </c>
      <c r="H160">
        <v>250439</v>
      </c>
      <c r="I160">
        <v>250449</v>
      </c>
      <c r="J160">
        <v>250444</v>
      </c>
      <c r="K160">
        <v>250426</v>
      </c>
      <c r="L160">
        <f t="shared" ca="1" si="40"/>
        <v>250406</v>
      </c>
      <c r="M160">
        <f t="shared" ca="1" si="41"/>
        <v>4.7922174388792609</v>
      </c>
      <c r="N160">
        <f t="shared" ca="1" si="42"/>
        <v>11975.352028306032</v>
      </c>
      <c r="O160">
        <f t="shared" ca="1" si="43"/>
        <v>16004.009488590529</v>
      </c>
      <c r="P160">
        <f t="shared" ca="1" si="44"/>
        <v>4032.251623363657</v>
      </c>
      <c r="Q160">
        <f t="shared" ca="1" si="45"/>
        <v>3.5941630791594448</v>
      </c>
      <c r="R160">
        <f t="shared" ca="1" si="46"/>
        <v>13.178597956917967</v>
      </c>
      <c r="S160">
        <f t="shared" ca="1" si="47"/>
        <v>17.17211248931735</v>
      </c>
      <c r="T160">
        <f t="shared" ca="1" si="48"/>
        <v>15.175355223117657</v>
      </c>
      <c r="U160">
        <f t="shared" ca="1" si="49"/>
        <v>7.987029064798767</v>
      </c>
    </row>
    <row r="161" spans="1:21" x14ac:dyDescent="0.3">
      <c r="A161" t="s">
        <v>52</v>
      </c>
      <c r="B161">
        <v>10</v>
      </c>
      <c r="C161">
        <v>250418</v>
      </c>
      <c r="D161">
        <v>280393</v>
      </c>
      <c r="E161">
        <v>290481</v>
      </c>
      <c r="F161">
        <v>260503</v>
      </c>
      <c r="G161">
        <v>250447</v>
      </c>
      <c r="H161">
        <v>250447</v>
      </c>
      <c r="I161">
        <v>250452</v>
      </c>
      <c r="J161">
        <v>250430</v>
      </c>
      <c r="K161">
        <v>250432</v>
      </c>
      <c r="L161">
        <f t="shared" ca="1" si="40"/>
        <v>250406</v>
      </c>
      <c r="M161">
        <f t="shared" ca="1" si="41"/>
        <v>4.7922174388792609</v>
      </c>
      <c r="N161">
        <f t="shared" ca="1" si="42"/>
        <v>11975.352028306032</v>
      </c>
      <c r="O161">
        <f t="shared" ca="1" si="43"/>
        <v>16004.009488590529</v>
      </c>
      <c r="P161">
        <f t="shared" ca="1" si="44"/>
        <v>4032.251623363657</v>
      </c>
      <c r="Q161">
        <f t="shared" ca="1" si="45"/>
        <v>16.373409582837471</v>
      </c>
      <c r="R161">
        <f t="shared" ca="1" si="46"/>
        <v>16.373409582837471</v>
      </c>
      <c r="S161">
        <f t="shared" ca="1" si="47"/>
        <v>18.370166849037165</v>
      </c>
      <c r="T161">
        <f t="shared" ca="1" si="48"/>
        <v>9.5844348777585218</v>
      </c>
      <c r="U161">
        <f t="shared" ca="1" si="49"/>
        <v>10.383137784238397</v>
      </c>
    </row>
    <row r="162" spans="1:21" x14ac:dyDescent="0.3">
      <c r="A162" t="s">
        <v>64</v>
      </c>
      <c r="B162">
        <v>1</v>
      </c>
      <c r="C162">
        <v>240231</v>
      </c>
      <c r="D162">
        <v>250284</v>
      </c>
      <c r="E162">
        <v>250337</v>
      </c>
      <c r="F162">
        <v>240316</v>
      </c>
      <c r="G162">
        <v>240259</v>
      </c>
      <c r="H162">
        <v>240269</v>
      </c>
      <c r="I162">
        <v>240273</v>
      </c>
      <c r="J162">
        <v>240244</v>
      </c>
      <c r="K162">
        <v>240258</v>
      </c>
      <c r="L162">
        <f t="shared" ca="1" si="40"/>
        <v>240221</v>
      </c>
      <c r="M162">
        <f t="shared" ca="1" si="41"/>
        <v>4.1628333909191948</v>
      </c>
      <c r="N162">
        <f t="shared" ca="1" si="42"/>
        <v>4189.059241281986</v>
      </c>
      <c r="O162">
        <f t="shared" ca="1" si="43"/>
        <v>4211.1222582538576</v>
      </c>
      <c r="P162">
        <f t="shared" ca="1" si="44"/>
        <v>39.546917213732357</v>
      </c>
      <c r="Q162">
        <f t="shared" ca="1" si="45"/>
        <v>15.818766885492945</v>
      </c>
      <c r="R162">
        <f t="shared" ca="1" si="46"/>
        <v>19.981600276412138</v>
      </c>
      <c r="S162">
        <f t="shared" ca="1" si="47"/>
        <v>21.646733632779817</v>
      </c>
      <c r="T162">
        <f t="shared" ca="1" si="48"/>
        <v>9.57451679911415</v>
      </c>
      <c r="U162">
        <f t="shared" ca="1" si="49"/>
        <v>15.402483546401022</v>
      </c>
    </row>
    <row r="163" spans="1:21" x14ac:dyDescent="0.3">
      <c r="A163" t="s">
        <v>64</v>
      </c>
      <c r="B163">
        <v>2</v>
      </c>
      <c r="C163">
        <v>240230</v>
      </c>
      <c r="D163">
        <v>250284</v>
      </c>
      <c r="E163">
        <v>250337</v>
      </c>
      <c r="F163">
        <v>240316</v>
      </c>
      <c r="G163">
        <v>240231</v>
      </c>
      <c r="H163">
        <v>240222</v>
      </c>
      <c r="I163">
        <v>240245</v>
      </c>
      <c r="J163">
        <v>240240</v>
      </c>
      <c r="K163">
        <v>240236</v>
      </c>
      <c r="L163">
        <f t="shared" ca="1" si="40"/>
        <v>240221</v>
      </c>
      <c r="M163">
        <f t="shared" ca="1" si="41"/>
        <v>3.7465500518272759</v>
      </c>
      <c r="N163">
        <f t="shared" ca="1" si="42"/>
        <v>4189.059241281986</v>
      </c>
      <c r="O163">
        <f t="shared" ca="1" si="43"/>
        <v>4211.1222582538576</v>
      </c>
      <c r="P163">
        <f t="shared" ca="1" si="44"/>
        <v>39.546917213732357</v>
      </c>
      <c r="Q163">
        <f t="shared" ca="1" si="45"/>
        <v>4.1628333909191948</v>
      </c>
      <c r="R163">
        <f t="shared" ca="1" si="46"/>
        <v>0.41628333909191956</v>
      </c>
      <c r="S163">
        <f t="shared" ca="1" si="47"/>
        <v>9.9908001382060689</v>
      </c>
      <c r="T163">
        <f t="shared" ca="1" si="48"/>
        <v>7.9093834427464724</v>
      </c>
      <c r="U163">
        <f t="shared" ca="1" si="49"/>
        <v>6.2442500863787931</v>
      </c>
    </row>
    <row r="164" spans="1:21" x14ac:dyDescent="0.3">
      <c r="A164" t="s">
        <v>26</v>
      </c>
      <c r="B164">
        <v>3</v>
      </c>
      <c r="C164">
        <v>240240</v>
      </c>
      <c r="D164">
        <v>250284</v>
      </c>
      <c r="E164">
        <v>250337</v>
      </c>
      <c r="F164">
        <v>240316</v>
      </c>
      <c r="G164">
        <v>240232</v>
      </c>
      <c r="H164">
        <v>240257</v>
      </c>
      <c r="I164">
        <v>240264</v>
      </c>
      <c r="J164">
        <v>240243</v>
      </c>
      <c r="K164">
        <v>240260</v>
      </c>
      <c r="L164">
        <f t="shared" ca="1" si="40"/>
        <v>240221</v>
      </c>
      <c r="M164">
        <f t="shared" ca="1" si="41"/>
        <v>7.9093834427464724</v>
      </c>
      <c r="N164">
        <f t="shared" ca="1" si="42"/>
        <v>4189.059241281986</v>
      </c>
      <c r="O164">
        <f t="shared" ca="1" si="43"/>
        <v>4211.1222582538576</v>
      </c>
      <c r="P164">
        <f t="shared" ca="1" si="44"/>
        <v>39.546917213732357</v>
      </c>
      <c r="Q164">
        <f t="shared" ca="1" si="45"/>
        <v>4.5791167300111146</v>
      </c>
      <c r="R164">
        <f t="shared" ca="1" si="46"/>
        <v>14.986200207309103</v>
      </c>
      <c r="S164">
        <f t="shared" ca="1" si="47"/>
        <v>17.90018358095254</v>
      </c>
      <c r="T164">
        <f t="shared" ca="1" si="48"/>
        <v>9.1582334600222293</v>
      </c>
      <c r="U164">
        <f t="shared" ca="1" si="49"/>
        <v>16.23505022458486</v>
      </c>
    </row>
    <row r="165" spans="1:21" x14ac:dyDescent="0.3">
      <c r="A165" t="s">
        <v>26</v>
      </c>
      <c r="B165">
        <v>4</v>
      </c>
      <c r="C165">
        <v>240240</v>
      </c>
      <c r="D165">
        <v>250284</v>
      </c>
      <c r="E165">
        <v>250337</v>
      </c>
      <c r="F165">
        <v>240316</v>
      </c>
      <c r="G165">
        <v>240260</v>
      </c>
      <c r="H165">
        <v>240246</v>
      </c>
      <c r="I165">
        <v>240284</v>
      </c>
      <c r="J165">
        <v>240244</v>
      </c>
      <c r="K165">
        <v>240248</v>
      </c>
      <c r="L165">
        <f t="shared" ca="1" si="40"/>
        <v>240221</v>
      </c>
      <c r="M165">
        <f t="shared" ca="1" si="41"/>
        <v>7.9093834427464724</v>
      </c>
      <c r="N165">
        <f t="shared" ca="1" si="42"/>
        <v>4189.059241281986</v>
      </c>
      <c r="O165">
        <f t="shared" ca="1" si="43"/>
        <v>4211.1222582538576</v>
      </c>
      <c r="P165">
        <f t="shared" ca="1" si="44"/>
        <v>39.546917213732357</v>
      </c>
      <c r="Q165">
        <f t="shared" ca="1" si="45"/>
        <v>16.23505022458486</v>
      </c>
      <c r="R165">
        <f t="shared" ca="1" si="46"/>
        <v>10.407083477297988</v>
      </c>
      <c r="S165">
        <f t="shared" ca="1" si="47"/>
        <v>26.225850362790933</v>
      </c>
      <c r="T165">
        <f t="shared" ca="1" si="48"/>
        <v>9.57451679911415</v>
      </c>
      <c r="U165">
        <f t="shared" ca="1" si="49"/>
        <v>11.239650155481828</v>
      </c>
    </row>
    <row r="166" spans="1:21" x14ac:dyDescent="0.3">
      <c r="A166" t="s">
        <v>26</v>
      </c>
      <c r="B166">
        <v>5</v>
      </c>
      <c r="C166">
        <v>240272</v>
      </c>
      <c r="D166">
        <v>250284</v>
      </c>
      <c r="E166">
        <v>250337</v>
      </c>
      <c r="F166">
        <v>240316</v>
      </c>
      <c r="G166">
        <v>240255</v>
      </c>
      <c r="H166">
        <v>240243</v>
      </c>
      <c r="I166">
        <v>240251</v>
      </c>
      <c r="J166">
        <v>240253</v>
      </c>
      <c r="K166">
        <v>240278</v>
      </c>
      <c r="L166">
        <f t="shared" ca="1" si="40"/>
        <v>240221</v>
      </c>
      <c r="M166">
        <f t="shared" ca="1" si="41"/>
        <v>21.230450293687895</v>
      </c>
      <c r="N166">
        <f t="shared" ca="1" si="42"/>
        <v>4189.059241281986</v>
      </c>
      <c r="O166">
        <f t="shared" ca="1" si="43"/>
        <v>4211.1222582538576</v>
      </c>
      <c r="P166">
        <f t="shared" ca="1" si="44"/>
        <v>39.546917213732357</v>
      </c>
      <c r="Q166">
        <f t="shared" ca="1" si="45"/>
        <v>14.153633529125264</v>
      </c>
      <c r="R166">
        <f t="shared" ca="1" si="46"/>
        <v>9.1582334600222293</v>
      </c>
      <c r="S166">
        <f t="shared" ca="1" si="47"/>
        <v>12.488500172757586</v>
      </c>
      <c r="T166">
        <f t="shared" ca="1" si="48"/>
        <v>13.321066850941426</v>
      </c>
      <c r="U166">
        <f t="shared" ca="1" si="49"/>
        <v>23.728150328239416</v>
      </c>
    </row>
    <row r="167" spans="1:21" x14ac:dyDescent="0.3">
      <c r="A167" t="s">
        <v>26</v>
      </c>
      <c r="B167">
        <v>6</v>
      </c>
      <c r="C167">
        <v>240228</v>
      </c>
      <c r="D167">
        <v>250284</v>
      </c>
      <c r="E167">
        <v>250337</v>
      </c>
      <c r="F167">
        <v>240316</v>
      </c>
      <c r="G167">
        <v>240265</v>
      </c>
      <c r="H167">
        <v>240266</v>
      </c>
      <c r="I167">
        <v>240259</v>
      </c>
      <c r="J167">
        <v>240279</v>
      </c>
      <c r="K167">
        <v>240243</v>
      </c>
      <c r="L167">
        <f t="shared" ca="1" si="40"/>
        <v>240221</v>
      </c>
      <c r="M167">
        <f t="shared" ca="1" si="41"/>
        <v>2.9139833736434366</v>
      </c>
      <c r="N167">
        <f t="shared" ca="1" si="42"/>
        <v>4189.059241281986</v>
      </c>
      <c r="O167">
        <f t="shared" ca="1" si="43"/>
        <v>4211.1222582538576</v>
      </c>
      <c r="P167">
        <f t="shared" ca="1" si="44"/>
        <v>39.546917213732357</v>
      </c>
      <c r="Q167">
        <f t="shared" ca="1" si="45"/>
        <v>18.316466920044459</v>
      </c>
      <c r="R167">
        <f t="shared" ca="1" si="46"/>
        <v>18.732750259136377</v>
      </c>
      <c r="S167">
        <f t="shared" ca="1" si="47"/>
        <v>15.818766885492945</v>
      </c>
      <c r="T167">
        <f t="shared" ca="1" si="48"/>
        <v>24.144433667331331</v>
      </c>
      <c r="U167">
        <f t="shared" ca="1" si="49"/>
        <v>9.1582334600222293</v>
      </c>
    </row>
    <row r="168" spans="1:21" x14ac:dyDescent="0.3">
      <c r="A168" t="s">
        <v>26</v>
      </c>
      <c r="B168">
        <v>7</v>
      </c>
      <c r="C168">
        <v>240237</v>
      </c>
      <c r="D168">
        <v>250284</v>
      </c>
      <c r="E168">
        <v>250337</v>
      </c>
      <c r="F168">
        <v>240316</v>
      </c>
      <c r="G168">
        <v>240228</v>
      </c>
      <c r="H168">
        <v>240232</v>
      </c>
      <c r="I168">
        <v>240266</v>
      </c>
      <c r="J168">
        <v>240234</v>
      </c>
      <c r="K168">
        <v>240258</v>
      </c>
      <c r="L168">
        <f t="shared" ca="1" si="40"/>
        <v>240221</v>
      </c>
      <c r="M168">
        <f t="shared" ca="1" si="41"/>
        <v>6.6605334254707129</v>
      </c>
      <c r="N168">
        <f t="shared" ca="1" si="42"/>
        <v>4189.059241281986</v>
      </c>
      <c r="O168">
        <f t="shared" ca="1" si="43"/>
        <v>4211.1222582538576</v>
      </c>
      <c r="P168">
        <f t="shared" ca="1" si="44"/>
        <v>39.546917213732357</v>
      </c>
      <c r="Q168">
        <f t="shared" ca="1" si="45"/>
        <v>2.9139833736434366</v>
      </c>
      <c r="R168">
        <f t="shared" ca="1" si="46"/>
        <v>4.5791167300111146</v>
      </c>
      <c r="S168">
        <f t="shared" ca="1" si="47"/>
        <v>18.732750259136377</v>
      </c>
      <c r="T168">
        <f t="shared" ca="1" si="48"/>
        <v>5.4116834081949543</v>
      </c>
      <c r="U168">
        <f t="shared" ca="1" si="49"/>
        <v>15.402483546401022</v>
      </c>
    </row>
    <row r="169" spans="1:21" x14ac:dyDescent="0.3">
      <c r="A169" t="s">
        <v>26</v>
      </c>
      <c r="B169">
        <v>8</v>
      </c>
      <c r="C169">
        <v>240229</v>
      </c>
      <c r="D169">
        <v>250284</v>
      </c>
      <c r="E169">
        <v>250337</v>
      </c>
      <c r="F169">
        <v>240316</v>
      </c>
      <c r="G169">
        <v>240245</v>
      </c>
      <c r="H169">
        <v>240271</v>
      </c>
      <c r="I169">
        <v>240241</v>
      </c>
      <c r="J169">
        <v>240259</v>
      </c>
      <c r="K169">
        <v>240240</v>
      </c>
      <c r="L169">
        <f t="shared" ca="1" si="40"/>
        <v>240221</v>
      </c>
      <c r="M169">
        <f t="shared" ca="1" si="41"/>
        <v>3.3302667127353565</v>
      </c>
      <c r="N169">
        <f t="shared" ca="1" si="42"/>
        <v>4189.059241281986</v>
      </c>
      <c r="O169">
        <f t="shared" ca="1" si="43"/>
        <v>4211.1222582538576</v>
      </c>
      <c r="P169">
        <f t="shared" ca="1" si="44"/>
        <v>39.546917213732357</v>
      </c>
      <c r="Q169">
        <f t="shared" ca="1" si="45"/>
        <v>9.9908001382060689</v>
      </c>
      <c r="R169">
        <f t="shared" ca="1" si="46"/>
        <v>20.814166954595976</v>
      </c>
      <c r="S169">
        <f t="shared" ca="1" si="47"/>
        <v>8.3256667818383896</v>
      </c>
      <c r="T169">
        <f t="shared" ca="1" si="48"/>
        <v>15.818766885492945</v>
      </c>
      <c r="U169">
        <f t="shared" ca="1" si="49"/>
        <v>7.9093834427464724</v>
      </c>
    </row>
    <row r="170" spans="1:21" x14ac:dyDescent="0.3">
      <c r="A170" t="s">
        <v>26</v>
      </c>
      <c r="B170">
        <v>9</v>
      </c>
      <c r="C170">
        <v>240221</v>
      </c>
      <c r="D170">
        <v>250284</v>
      </c>
      <c r="E170">
        <v>250337</v>
      </c>
      <c r="F170">
        <v>240316</v>
      </c>
      <c r="G170">
        <v>240273</v>
      </c>
      <c r="H170">
        <v>240276</v>
      </c>
      <c r="I170">
        <v>240252</v>
      </c>
      <c r="J170">
        <v>240269</v>
      </c>
      <c r="K170">
        <v>240234</v>
      </c>
      <c r="L170">
        <f t="shared" ca="1" si="40"/>
        <v>240221</v>
      </c>
      <c r="M170">
        <f t="shared" ca="1" si="41"/>
        <v>0</v>
      </c>
      <c r="N170">
        <f t="shared" ca="1" si="42"/>
        <v>4189.059241281986</v>
      </c>
      <c r="O170">
        <f t="shared" ca="1" si="43"/>
        <v>4211.1222582538576</v>
      </c>
      <c r="P170">
        <f t="shared" ca="1" si="44"/>
        <v>39.546917213732357</v>
      </c>
      <c r="Q170">
        <f t="shared" ca="1" si="45"/>
        <v>21.646733632779817</v>
      </c>
      <c r="R170">
        <f t="shared" ca="1" si="46"/>
        <v>22.895583650055574</v>
      </c>
      <c r="S170">
        <f t="shared" ca="1" si="47"/>
        <v>12.904783511849505</v>
      </c>
      <c r="T170">
        <f t="shared" ca="1" si="48"/>
        <v>19.981600276412138</v>
      </c>
      <c r="U170">
        <f t="shared" ca="1" si="49"/>
        <v>5.4116834081949543</v>
      </c>
    </row>
    <row r="171" spans="1:21" x14ac:dyDescent="0.3">
      <c r="A171" t="s">
        <v>26</v>
      </c>
      <c r="B171">
        <v>10</v>
      </c>
      <c r="C171">
        <v>240225</v>
      </c>
      <c r="D171">
        <v>250284</v>
      </c>
      <c r="E171">
        <v>250337</v>
      </c>
      <c r="F171">
        <v>240316</v>
      </c>
      <c r="G171">
        <v>240251</v>
      </c>
      <c r="H171">
        <v>240247</v>
      </c>
      <c r="I171">
        <v>240239</v>
      </c>
      <c r="J171">
        <v>240265</v>
      </c>
      <c r="K171">
        <v>240238</v>
      </c>
      <c r="L171">
        <f t="shared" ca="1" si="40"/>
        <v>240221</v>
      </c>
      <c r="M171">
        <f t="shared" ca="1" si="41"/>
        <v>1.6651333563676782</v>
      </c>
      <c r="N171">
        <f t="shared" ca="1" si="42"/>
        <v>4189.059241281986</v>
      </c>
      <c r="O171">
        <f t="shared" ca="1" si="43"/>
        <v>4211.1222582538576</v>
      </c>
      <c r="P171">
        <f t="shared" ca="1" si="44"/>
        <v>39.546917213732357</v>
      </c>
      <c r="Q171">
        <f t="shared" ca="1" si="45"/>
        <v>12.488500172757586</v>
      </c>
      <c r="R171">
        <f t="shared" ca="1" si="46"/>
        <v>10.823366816389909</v>
      </c>
      <c r="S171">
        <f t="shared" ca="1" si="47"/>
        <v>7.4931001036545517</v>
      </c>
      <c r="T171">
        <f t="shared" ca="1" si="48"/>
        <v>18.316466920044459</v>
      </c>
      <c r="U171">
        <f t="shared" ca="1" si="49"/>
        <v>7.0768167645626319</v>
      </c>
    </row>
    <row r="172" spans="1:21" x14ac:dyDescent="0.3">
      <c r="A172" t="s">
        <v>65</v>
      </c>
      <c r="B172">
        <v>1</v>
      </c>
      <c r="C172">
        <v>230322</v>
      </c>
      <c r="D172">
        <v>250413</v>
      </c>
      <c r="E172">
        <v>250432</v>
      </c>
      <c r="F172">
        <v>240392</v>
      </c>
      <c r="G172">
        <v>230348</v>
      </c>
      <c r="H172">
        <v>230328</v>
      </c>
      <c r="I172">
        <v>230329</v>
      </c>
      <c r="J172">
        <v>230350</v>
      </c>
      <c r="K172">
        <v>230332</v>
      </c>
      <c r="L172">
        <f t="shared" ca="1" si="40"/>
        <v>230304</v>
      </c>
      <c r="M172">
        <f t="shared" ca="1" si="41"/>
        <v>7.8157565652355148</v>
      </c>
      <c r="N172">
        <f t="shared" ca="1" si="42"/>
        <v>8731.5027094622765</v>
      </c>
      <c r="O172">
        <f t="shared" ca="1" si="43"/>
        <v>8739.7526747255797</v>
      </c>
      <c r="P172">
        <f t="shared" ca="1" si="44"/>
        <v>4380.2973461164374</v>
      </c>
      <c r="Q172">
        <f t="shared" ca="1" si="45"/>
        <v>19.105182715020145</v>
      </c>
      <c r="R172">
        <f t="shared" ca="1" si="46"/>
        <v>10.421008753647353</v>
      </c>
      <c r="S172">
        <f t="shared" ca="1" si="47"/>
        <v>10.855217451715992</v>
      </c>
      <c r="T172">
        <f t="shared" ca="1" si="48"/>
        <v>19.973600111157428</v>
      </c>
      <c r="U172">
        <f t="shared" ca="1" si="49"/>
        <v>12.157843545921912</v>
      </c>
    </row>
    <row r="173" spans="1:21" x14ac:dyDescent="0.3">
      <c r="A173" t="s">
        <v>65</v>
      </c>
      <c r="B173">
        <v>2</v>
      </c>
      <c r="C173">
        <v>230320</v>
      </c>
      <c r="D173">
        <v>250413</v>
      </c>
      <c r="E173">
        <v>250432</v>
      </c>
      <c r="F173">
        <v>240392</v>
      </c>
      <c r="G173">
        <v>230304</v>
      </c>
      <c r="H173">
        <v>230332</v>
      </c>
      <c r="I173">
        <v>230337</v>
      </c>
      <c r="J173">
        <v>230326</v>
      </c>
      <c r="K173">
        <v>230329</v>
      </c>
      <c r="L173">
        <f t="shared" ca="1" si="40"/>
        <v>230304</v>
      </c>
      <c r="M173">
        <f t="shared" ca="1" si="41"/>
        <v>6.9473391690982353</v>
      </c>
      <c r="N173">
        <f t="shared" ca="1" si="42"/>
        <v>8731.5027094622765</v>
      </c>
      <c r="O173">
        <f t="shared" ca="1" si="43"/>
        <v>8739.7526747255797</v>
      </c>
      <c r="P173">
        <f t="shared" ca="1" si="44"/>
        <v>4380.2973461164374</v>
      </c>
      <c r="Q173">
        <f t="shared" ca="1" si="45"/>
        <v>0</v>
      </c>
      <c r="R173">
        <f t="shared" ca="1" si="46"/>
        <v>12.157843545921912</v>
      </c>
      <c r="S173">
        <f t="shared" ca="1" si="47"/>
        <v>14.328887036265112</v>
      </c>
      <c r="T173">
        <f t="shared" ca="1" si="48"/>
        <v>9.5525913575100727</v>
      </c>
      <c r="U173">
        <f t="shared" ca="1" si="49"/>
        <v>10.855217451715992</v>
      </c>
    </row>
    <row r="174" spans="1:21" x14ac:dyDescent="0.3">
      <c r="A174" t="s">
        <v>27</v>
      </c>
      <c r="B174">
        <v>3</v>
      </c>
      <c r="C174">
        <v>230308</v>
      </c>
      <c r="D174">
        <v>250413</v>
      </c>
      <c r="E174">
        <v>250432</v>
      </c>
      <c r="F174">
        <v>240392</v>
      </c>
      <c r="G174">
        <v>230324</v>
      </c>
      <c r="H174">
        <v>230323</v>
      </c>
      <c r="I174">
        <v>230360</v>
      </c>
      <c r="J174">
        <v>230337</v>
      </c>
      <c r="K174">
        <v>230326</v>
      </c>
      <c r="L174">
        <f t="shared" ca="1" si="40"/>
        <v>230304</v>
      </c>
      <c r="M174">
        <f t="shared" ca="1" si="41"/>
        <v>1.7368347922745588</v>
      </c>
      <c r="N174">
        <f t="shared" ca="1" si="42"/>
        <v>8731.5027094622765</v>
      </c>
      <c r="O174">
        <f t="shared" ca="1" si="43"/>
        <v>8739.7526747255797</v>
      </c>
      <c r="P174">
        <f t="shared" ca="1" si="44"/>
        <v>4380.2973461164374</v>
      </c>
      <c r="Q174">
        <f t="shared" ca="1" si="45"/>
        <v>8.6841739613727942</v>
      </c>
      <c r="R174">
        <f t="shared" ca="1" si="46"/>
        <v>8.2499652633041549</v>
      </c>
      <c r="S174">
        <f t="shared" ca="1" si="47"/>
        <v>24.315687091843824</v>
      </c>
      <c r="T174">
        <f t="shared" ca="1" si="48"/>
        <v>14.328887036265112</v>
      </c>
      <c r="U174">
        <f t="shared" ca="1" si="49"/>
        <v>9.5525913575100727</v>
      </c>
    </row>
    <row r="175" spans="1:21" x14ac:dyDescent="0.3">
      <c r="A175" t="s">
        <v>27</v>
      </c>
      <c r="B175">
        <v>4</v>
      </c>
      <c r="C175">
        <v>230322</v>
      </c>
      <c r="D175">
        <v>250413</v>
      </c>
      <c r="E175">
        <v>250432</v>
      </c>
      <c r="F175">
        <v>240392</v>
      </c>
      <c r="G175">
        <v>230332</v>
      </c>
      <c r="H175">
        <v>230314</v>
      </c>
      <c r="I175">
        <v>230337</v>
      </c>
      <c r="J175">
        <v>230335</v>
      </c>
      <c r="K175">
        <v>230338</v>
      </c>
      <c r="L175">
        <f t="shared" ca="1" si="40"/>
        <v>230304</v>
      </c>
      <c r="M175">
        <f t="shared" ca="1" si="41"/>
        <v>7.8157565652355148</v>
      </c>
      <c r="N175">
        <f t="shared" ca="1" si="42"/>
        <v>8731.5027094622765</v>
      </c>
      <c r="O175">
        <f t="shared" ca="1" si="43"/>
        <v>8739.7526747255797</v>
      </c>
      <c r="P175">
        <f t="shared" ca="1" si="44"/>
        <v>4380.2973461164374</v>
      </c>
      <c r="Q175">
        <f t="shared" ca="1" si="45"/>
        <v>12.157843545921912</v>
      </c>
      <c r="R175">
        <f t="shared" ca="1" si="46"/>
        <v>4.3420869806863971</v>
      </c>
      <c r="S175">
        <f t="shared" ca="1" si="47"/>
        <v>14.328887036265112</v>
      </c>
      <c r="T175">
        <f t="shared" ca="1" si="48"/>
        <v>13.46046964012783</v>
      </c>
      <c r="U175">
        <f t="shared" ca="1" si="49"/>
        <v>14.763095734333749</v>
      </c>
    </row>
    <row r="176" spans="1:21" x14ac:dyDescent="0.3">
      <c r="A176" t="s">
        <v>27</v>
      </c>
      <c r="B176">
        <v>5</v>
      </c>
      <c r="C176">
        <v>230322</v>
      </c>
      <c r="D176">
        <v>250413</v>
      </c>
      <c r="E176">
        <v>250432</v>
      </c>
      <c r="F176">
        <v>240392</v>
      </c>
      <c r="G176">
        <v>230323</v>
      </c>
      <c r="H176">
        <v>230322</v>
      </c>
      <c r="I176">
        <v>230328</v>
      </c>
      <c r="J176">
        <v>230323</v>
      </c>
      <c r="K176">
        <v>230331</v>
      </c>
      <c r="L176">
        <f t="shared" ca="1" si="40"/>
        <v>230304</v>
      </c>
      <c r="M176">
        <f t="shared" ca="1" si="41"/>
        <v>7.8157565652355148</v>
      </c>
      <c r="N176">
        <f t="shared" ca="1" si="42"/>
        <v>8731.5027094622765</v>
      </c>
      <c r="O176">
        <f t="shared" ca="1" si="43"/>
        <v>8739.7526747255797</v>
      </c>
      <c r="P176">
        <f t="shared" ca="1" si="44"/>
        <v>4380.2973461164374</v>
      </c>
      <c r="Q176">
        <f t="shared" ca="1" si="45"/>
        <v>8.2499652633041549</v>
      </c>
      <c r="R176">
        <f t="shared" ca="1" si="46"/>
        <v>7.8157565652355148</v>
      </c>
      <c r="S176">
        <f t="shared" ca="1" si="47"/>
        <v>10.421008753647353</v>
      </c>
      <c r="T176">
        <f t="shared" ca="1" si="48"/>
        <v>8.2499652633041549</v>
      </c>
      <c r="U176">
        <f t="shared" ca="1" si="49"/>
        <v>11.723634847853273</v>
      </c>
    </row>
    <row r="177" spans="1:21" x14ac:dyDescent="0.3">
      <c r="A177" t="s">
        <v>27</v>
      </c>
      <c r="B177">
        <v>6</v>
      </c>
      <c r="C177">
        <v>230327</v>
      </c>
      <c r="D177">
        <v>250413</v>
      </c>
      <c r="E177">
        <v>250432</v>
      </c>
      <c r="F177">
        <v>240392</v>
      </c>
      <c r="G177">
        <v>230308</v>
      </c>
      <c r="H177">
        <v>230325</v>
      </c>
      <c r="I177">
        <v>230325</v>
      </c>
      <c r="J177">
        <v>230327</v>
      </c>
      <c r="K177">
        <v>230337</v>
      </c>
      <c r="L177">
        <f t="shared" ca="1" si="40"/>
        <v>230304</v>
      </c>
      <c r="M177">
        <f t="shared" ca="1" si="41"/>
        <v>9.9868000555787138</v>
      </c>
      <c r="N177">
        <f t="shared" ca="1" si="42"/>
        <v>8731.5027094622765</v>
      </c>
      <c r="O177">
        <f t="shared" ca="1" si="43"/>
        <v>8739.7526747255797</v>
      </c>
      <c r="P177">
        <f t="shared" ca="1" si="44"/>
        <v>4380.2973461164374</v>
      </c>
      <c r="Q177">
        <f t="shared" ca="1" si="45"/>
        <v>1.7368347922745588</v>
      </c>
      <c r="R177">
        <f t="shared" ca="1" si="46"/>
        <v>9.1183826594414334</v>
      </c>
      <c r="S177">
        <f t="shared" ca="1" si="47"/>
        <v>9.1183826594414334</v>
      </c>
      <c r="T177">
        <f t="shared" ca="1" si="48"/>
        <v>9.9868000555787138</v>
      </c>
      <c r="U177">
        <f t="shared" ca="1" si="49"/>
        <v>14.328887036265112</v>
      </c>
    </row>
    <row r="178" spans="1:21" x14ac:dyDescent="0.3">
      <c r="A178" t="s">
        <v>27</v>
      </c>
      <c r="B178">
        <v>7</v>
      </c>
      <c r="C178">
        <v>230322</v>
      </c>
      <c r="D178">
        <v>250413</v>
      </c>
      <c r="E178">
        <v>250432</v>
      </c>
      <c r="F178">
        <v>240392</v>
      </c>
      <c r="G178">
        <v>230343</v>
      </c>
      <c r="H178">
        <v>230347</v>
      </c>
      <c r="I178">
        <v>230371</v>
      </c>
      <c r="J178">
        <v>230331</v>
      </c>
      <c r="K178">
        <v>230332</v>
      </c>
      <c r="L178">
        <f t="shared" ca="1" si="40"/>
        <v>230304</v>
      </c>
      <c r="M178">
        <f t="shared" ca="1" si="41"/>
        <v>7.8157565652355148</v>
      </c>
      <c r="N178">
        <f t="shared" ca="1" si="42"/>
        <v>8731.5027094622765</v>
      </c>
      <c r="O178">
        <f t="shared" ca="1" si="43"/>
        <v>8739.7526747255797</v>
      </c>
      <c r="P178">
        <f t="shared" ca="1" si="44"/>
        <v>4380.2973461164374</v>
      </c>
      <c r="Q178">
        <f t="shared" ca="1" si="45"/>
        <v>16.934139224676947</v>
      </c>
      <c r="R178">
        <f t="shared" ca="1" si="46"/>
        <v>18.670974016951508</v>
      </c>
      <c r="S178">
        <f t="shared" ca="1" si="47"/>
        <v>29.091982770598861</v>
      </c>
      <c r="T178">
        <f t="shared" ca="1" si="48"/>
        <v>11.723634847853273</v>
      </c>
      <c r="U178">
        <f t="shared" ca="1" si="49"/>
        <v>12.157843545921912</v>
      </c>
    </row>
    <row r="179" spans="1:21" x14ac:dyDescent="0.3">
      <c r="A179" t="s">
        <v>27</v>
      </c>
      <c r="B179">
        <v>8</v>
      </c>
      <c r="C179">
        <v>230309</v>
      </c>
      <c r="D179">
        <v>250413</v>
      </c>
      <c r="E179">
        <v>250432</v>
      </c>
      <c r="F179">
        <v>240392</v>
      </c>
      <c r="G179">
        <v>230325</v>
      </c>
      <c r="H179">
        <v>230338</v>
      </c>
      <c r="I179">
        <v>230335</v>
      </c>
      <c r="J179">
        <v>230319</v>
      </c>
      <c r="K179">
        <v>230321</v>
      </c>
      <c r="L179">
        <f t="shared" ca="1" si="40"/>
        <v>230304</v>
      </c>
      <c r="M179">
        <f t="shared" ca="1" si="41"/>
        <v>2.1710434903431985</v>
      </c>
      <c r="N179">
        <f t="shared" ca="1" si="42"/>
        <v>8731.5027094622765</v>
      </c>
      <c r="O179">
        <f t="shared" ca="1" si="43"/>
        <v>8739.7526747255797</v>
      </c>
      <c r="P179">
        <f t="shared" ca="1" si="44"/>
        <v>4380.2973461164374</v>
      </c>
      <c r="Q179">
        <f t="shared" ca="1" si="45"/>
        <v>9.1183826594414334</v>
      </c>
      <c r="R179">
        <f t="shared" ca="1" si="46"/>
        <v>14.763095734333749</v>
      </c>
      <c r="S179">
        <f t="shared" ca="1" si="47"/>
        <v>13.46046964012783</v>
      </c>
      <c r="T179">
        <f t="shared" ca="1" si="48"/>
        <v>6.5131304710295961</v>
      </c>
      <c r="U179">
        <f t="shared" ca="1" si="49"/>
        <v>7.3815478671668746</v>
      </c>
    </row>
    <row r="180" spans="1:21" x14ac:dyDescent="0.3">
      <c r="A180" t="s">
        <v>27</v>
      </c>
      <c r="B180">
        <v>9</v>
      </c>
      <c r="C180">
        <v>230322</v>
      </c>
      <c r="D180">
        <v>250413</v>
      </c>
      <c r="E180">
        <v>250432</v>
      </c>
      <c r="F180">
        <v>240392</v>
      </c>
      <c r="G180">
        <v>230331</v>
      </c>
      <c r="H180">
        <v>230305</v>
      </c>
      <c r="I180">
        <v>230332</v>
      </c>
      <c r="J180">
        <v>230336</v>
      </c>
      <c r="K180">
        <v>230324</v>
      </c>
      <c r="L180">
        <f t="shared" ca="1" si="40"/>
        <v>230304</v>
      </c>
      <c r="M180">
        <f t="shared" ca="1" si="41"/>
        <v>7.8157565652355148</v>
      </c>
      <c r="N180">
        <f t="shared" ca="1" si="42"/>
        <v>8731.5027094622765</v>
      </c>
      <c r="O180">
        <f t="shared" ca="1" si="43"/>
        <v>8739.7526747255797</v>
      </c>
      <c r="P180">
        <f t="shared" ca="1" si="44"/>
        <v>4380.2973461164374</v>
      </c>
      <c r="Q180">
        <f t="shared" ca="1" si="45"/>
        <v>11.723634847853273</v>
      </c>
      <c r="R180">
        <f t="shared" ca="1" si="46"/>
        <v>0.43420869806863971</v>
      </c>
      <c r="S180">
        <f t="shared" ca="1" si="47"/>
        <v>12.157843545921912</v>
      </c>
      <c r="T180">
        <f t="shared" ca="1" si="48"/>
        <v>13.894678338196471</v>
      </c>
      <c r="U180">
        <f t="shared" ca="1" si="49"/>
        <v>8.6841739613727942</v>
      </c>
    </row>
    <row r="181" spans="1:21" x14ac:dyDescent="0.3">
      <c r="A181" t="s">
        <v>27</v>
      </c>
      <c r="B181">
        <v>10</v>
      </c>
      <c r="C181">
        <v>230308</v>
      </c>
      <c r="D181">
        <v>250413</v>
      </c>
      <c r="E181">
        <v>250432</v>
      </c>
      <c r="F181">
        <v>240392</v>
      </c>
      <c r="G181">
        <v>230322</v>
      </c>
      <c r="H181">
        <v>230322</v>
      </c>
      <c r="I181">
        <v>230355</v>
      </c>
      <c r="J181">
        <v>230349</v>
      </c>
      <c r="K181">
        <v>230323</v>
      </c>
      <c r="L181">
        <f t="shared" ca="1" si="40"/>
        <v>230304</v>
      </c>
      <c r="M181">
        <f t="shared" ca="1" si="41"/>
        <v>1.7368347922745588</v>
      </c>
      <c r="N181">
        <f t="shared" ca="1" si="42"/>
        <v>8731.5027094622765</v>
      </c>
      <c r="O181">
        <f t="shared" ca="1" si="43"/>
        <v>8739.7526747255797</v>
      </c>
      <c r="P181">
        <f t="shared" ca="1" si="44"/>
        <v>4380.2973461164374</v>
      </c>
      <c r="Q181">
        <f t="shared" ca="1" si="45"/>
        <v>7.8157565652355148</v>
      </c>
      <c r="R181">
        <f t="shared" ca="1" si="46"/>
        <v>7.8157565652355148</v>
      </c>
      <c r="S181">
        <f t="shared" ca="1" si="47"/>
        <v>22.144643601500626</v>
      </c>
      <c r="T181">
        <f t="shared" ca="1" si="48"/>
        <v>19.53939141308879</v>
      </c>
      <c r="U181">
        <f t="shared" ca="1" si="49"/>
        <v>8.2499652633041549</v>
      </c>
    </row>
    <row r="182" spans="1:21" x14ac:dyDescent="0.3">
      <c r="A182" t="s">
        <v>66</v>
      </c>
      <c r="B182">
        <v>1</v>
      </c>
      <c r="C182">
        <v>280421</v>
      </c>
      <c r="D182">
        <v>290440</v>
      </c>
      <c r="E182">
        <v>290517</v>
      </c>
      <c r="F182">
        <v>280472</v>
      </c>
      <c r="G182">
        <v>280437</v>
      </c>
      <c r="H182">
        <v>280453</v>
      </c>
      <c r="I182">
        <v>280435</v>
      </c>
      <c r="J182">
        <v>280445</v>
      </c>
      <c r="K182">
        <v>280442</v>
      </c>
      <c r="L182">
        <f t="shared" ca="1" si="40"/>
        <v>280399</v>
      </c>
      <c r="M182">
        <f t="shared" ca="1" si="41"/>
        <v>7.8459623607787465</v>
      </c>
      <c r="N182">
        <f t="shared" ca="1" si="42"/>
        <v>3580.9685483899725</v>
      </c>
      <c r="O182">
        <f t="shared" ca="1" si="43"/>
        <v>3608.4294166526984</v>
      </c>
      <c r="P182">
        <f t="shared" ca="1" si="44"/>
        <v>26.034329651674938</v>
      </c>
      <c r="Q182">
        <f t="shared" ca="1" si="45"/>
        <v>13.552116804981473</v>
      </c>
      <c r="R182">
        <f t="shared" ca="1" si="46"/>
        <v>19.258271249184197</v>
      </c>
      <c r="S182">
        <f t="shared" ca="1" si="47"/>
        <v>12.838847499456131</v>
      </c>
      <c r="T182">
        <f t="shared" ca="1" si="48"/>
        <v>16.405194027082839</v>
      </c>
      <c r="U182">
        <f t="shared" ca="1" si="49"/>
        <v>15.335290068794823</v>
      </c>
    </row>
    <row r="183" spans="1:21" x14ac:dyDescent="0.3">
      <c r="A183" t="s">
        <v>66</v>
      </c>
      <c r="B183">
        <v>2</v>
      </c>
      <c r="C183">
        <v>280461</v>
      </c>
      <c r="D183">
        <v>290440</v>
      </c>
      <c r="E183">
        <v>290517</v>
      </c>
      <c r="F183">
        <v>280472</v>
      </c>
      <c r="G183">
        <v>280465</v>
      </c>
      <c r="H183">
        <v>280489</v>
      </c>
      <c r="I183">
        <v>280456</v>
      </c>
      <c r="J183">
        <v>280429</v>
      </c>
      <c r="K183">
        <v>280459</v>
      </c>
      <c r="L183">
        <f t="shared" ca="1" si="40"/>
        <v>280399</v>
      </c>
      <c r="M183">
        <f t="shared" ca="1" si="41"/>
        <v>22.111348471285559</v>
      </c>
      <c r="N183">
        <f t="shared" ca="1" si="42"/>
        <v>3580.9685483899725</v>
      </c>
      <c r="O183">
        <f t="shared" ca="1" si="43"/>
        <v>3608.4294166526984</v>
      </c>
      <c r="P183">
        <f t="shared" ca="1" si="44"/>
        <v>26.034329651674938</v>
      </c>
      <c r="Q183">
        <f t="shared" ca="1" si="45"/>
        <v>23.537887082336244</v>
      </c>
      <c r="R183">
        <f t="shared" ca="1" si="46"/>
        <v>32.097118748640334</v>
      </c>
      <c r="S183">
        <f t="shared" ca="1" si="47"/>
        <v>20.32817520747221</v>
      </c>
      <c r="T183">
        <f t="shared" ca="1" si="48"/>
        <v>10.699039582880109</v>
      </c>
      <c r="U183">
        <f t="shared" ca="1" si="49"/>
        <v>21.398079165760219</v>
      </c>
    </row>
    <row r="184" spans="1:21" x14ac:dyDescent="0.3">
      <c r="A184" t="s">
        <v>28</v>
      </c>
      <c r="B184">
        <v>3</v>
      </c>
      <c r="C184">
        <v>280441</v>
      </c>
      <c r="D184">
        <v>290440</v>
      </c>
      <c r="E184">
        <v>290517</v>
      </c>
      <c r="F184">
        <v>280472</v>
      </c>
      <c r="G184">
        <v>280404</v>
      </c>
      <c r="H184">
        <v>280437</v>
      </c>
      <c r="I184">
        <v>280450</v>
      </c>
      <c r="J184">
        <v>280473</v>
      </c>
      <c r="K184">
        <v>280464</v>
      </c>
      <c r="L184">
        <f t="shared" ca="1" si="40"/>
        <v>280399</v>
      </c>
      <c r="M184">
        <f t="shared" ca="1" si="41"/>
        <v>14.978655416032154</v>
      </c>
      <c r="N184">
        <f t="shared" ca="1" si="42"/>
        <v>3580.9685483899725</v>
      </c>
      <c r="O184">
        <f t="shared" ca="1" si="43"/>
        <v>3608.4294166526984</v>
      </c>
      <c r="P184">
        <f t="shared" ca="1" si="44"/>
        <v>26.034329651674938</v>
      </c>
      <c r="Q184">
        <f t="shared" ca="1" si="45"/>
        <v>1.7831732638133517</v>
      </c>
      <c r="R184">
        <f t="shared" ca="1" si="46"/>
        <v>13.552116804981473</v>
      </c>
      <c r="S184">
        <f t="shared" ca="1" si="47"/>
        <v>18.188367290896185</v>
      </c>
      <c r="T184">
        <f t="shared" ca="1" si="48"/>
        <v>26.390964304437603</v>
      </c>
      <c r="U184">
        <f t="shared" ca="1" si="49"/>
        <v>23.181252429573576</v>
      </c>
    </row>
    <row r="185" spans="1:21" x14ac:dyDescent="0.3">
      <c r="A185" t="s">
        <v>28</v>
      </c>
      <c r="B185">
        <v>4</v>
      </c>
      <c r="C185">
        <v>280402</v>
      </c>
      <c r="D185">
        <v>290440</v>
      </c>
      <c r="E185">
        <v>290517</v>
      </c>
      <c r="F185">
        <v>280472</v>
      </c>
      <c r="G185">
        <v>280465</v>
      </c>
      <c r="H185">
        <v>280424</v>
      </c>
      <c r="I185">
        <v>280511</v>
      </c>
      <c r="J185">
        <v>280445</v>
      </c>
      <c r="K185">
        <v>280419</v>
      </c>
      <c r="L185">
        <f t="shared" ca="1" si="40"/>
        <v>280399</v>
      </c>
      <c r="M185">
        <f t="shared" ca="1" si="41"/>
        <v>1.069903958288011</v>
      </c>
      <c r="N185">
        <f t="shared" ca="1" si="42"/>
        <v>3580.9685483899725</v>
      </c>
      <c r="O185">
        <f t="shared" ca="1" si="43"/>
        <v>3608.4294166526984</v>
      </c>
      <c r="P185">
        <f t="shared" ca="1" si="44"/>
        <v>26.034329651674938</v>
      </c>
      <c r="Q185">
        <f t="shared" ca="1" si="45"/>
        <v>23.537887082336244</v>
      </c>
      <c r="R185">
        <f t="shared" ca="1" si="46"/>
        <v>8.9158663190667582</v>
      </c>
      <c r="S185">
        <f t="shared" ca="1" si="47"/>
        <v>39.943081109419076</v>
      </c>
      <c r="T185">
        <f t="shared" ca="1" si="48"/>
        <v>16.405194027082839</v>
      </c>
      <c r="U185">
        <f t="shared" ca="1" si="49"/>
        <v>7.1326930552534069</v>
      </c>
    </row>
    <row r="186" spans="1:21" x14ac:dyDescent="0.3">
      <c r="A186" t="s">
        <v>28</v>
      </c>
      <c r="B186">
        <v>5</v>
      </c>
      <c r="C186">
        <v>280425</v>
      </c>
      <c r="D186">
        <v>290440</v>
      </c>
      <c r="E186">
        <v>290517</v>
      </c>
      <c r="F186">
        <v>280472</v>
      </c>
      <c r="G186">
        <v>280407</v>
      </c>
      <c r="H186">
        <v>280452</v>
      </c>
      <c r="I186">
        <v>280455</v>
      </c>
      <c r="J186">
        <v>280457</v>
      </c>
      <c r="K186">
        <v>280449</v>
      </c>
      <c r="L186">
        <f t="shared" ca="1" si="40"/>
        <v>280399</v>
      </c>
      <c r="M186">
        <f t="shared" ca="1" si="41"/>
        <v>9.2725009718294285</v>
      </c>
      <c r="N186">
        <f t="shared" ca="1" si="42"/>
        <v>3580.9685483899725</v>
      </c>
      <c r="O186">
        <f t="shared" ca="1" si="43"/>
        <v>3608.4294166526984</v>
      </c>
      <c r="P186">
        <f t="shared" ca="1" si="44"/>
        <v>26.034329651674938</v>
      </c>
      <c r="Q186">
        <f t="shared" ca="1" si="45"/>
        <v>2.8530772221013629</v>
      </c>
      <c r="R186">
        <f t="shared" ca="1" si="46"/>
        <v>18.901636596421529</v>
      </c>
      <c r="S186">
        <f t="shared" ca="1" si="47"/>
        <v>19.971540554709538</v>
      </c>
      <c r="T186">
        <f t="shared" ca="1" si="48"/>
        <v>20.684809860234878</v>
      </c>
      <c r="U186">
        <f t="shared" ca="1" si="49"/>
        <v>17.831732638133516</v>
      </c>
    </row>
    <row r="187" spans="1:21" x14ac:dyDescent="0.3">
      <c r="A187" t="s">
        <v>28</v>
      </c>
      <c r="B187">
        <v>6</v>
      </c>
      <c r="C187">
        <v>280402</v>
      </c>
      <c r="D187">
        <v>290440</v>
      </c>
      <c r="E187">
        <v>290517</v>
      </c>
      <c r="F187">
        <v>280472</v>
      </c>
      <c r="G187">
        <v>280400</v>
      </c>
      <c r="H187">
        <v>280430</v>
      </c>
      <c r="I187">
        <v>280467</v>
      </c>
      <c r="J187">
        <v>280439</v>
      </c>
      <c r="K187">
        <v>280423</v>
      </c>
      <c r="L187">
        <f t="shared" ca="1" si="40"/>
        <v>280399</v>
      </c>
      <c r="M187">
        <f t="shared" ca="1" si="41"/>
        <v>1.069903958288011</v>
      </c>
      <c r="N187">
        <f t="shared" ca="1" si="42"/>
        <v>3580.9685483899725</v>
      </c>
      <c r="O187">
        <f t="shared" ca="1" si="43"/>
        <v>3608.4294166526984</v>
      </c>
      <c r="P187">
        <f t="shared" ca="1" si="44"/>
        <v>26.034329651674938</v>
      </c>
      <c r="Q187">
        <f t="shared" ca="1" si="45"/>
        <v>0.35663465276267037</v>
      </c>
      <c r="R187">
        <f t="shared" ca="1" si="46"/>
        <v>11.05567423564278</v>
      </c>
      <c r="S187">
        <f t="shared" ca="1" si="47"/>
        <v>24.251156387861581</v>
      </c>
      <c r="T187">
        <f t="shared" ca="1" si="48"/>
        <v>14.265386110506814</v>
      </c>
      <c r="U187">
        <f t="shared" ca="1" si="49"/>
        <v>8.5592316663040879</v>
      </c>
    </row>
    <row r="188" spans="1:21" x14ac:dyDescent="0.3">
      <c r="A188" t="s">
        <v>28</v>
      </c>
      <c r="B188">
        <v>7</v>
      </c>
      <c r="C188">
        <v>280434</v>
      </c>
      <c r="D188">
        <v>290440</v>
      </c>
      <c r="E188">
        <v>290517</v>
      </c>
      <c r="F188">
        <v>280472</v>
      </c>
      <c r="G188">
        <v>280450</v>
      </c>
      <c r="H188">
        <v>280444</v>
      </c>
      <c r="I188">
        <v>280472</v>
      </c>
      <c r="J188">
        <v>280470</v>
      </c>
      <c r="K188">
        <v>280456</v>
      </c>
      <c r="L188">
        <f t="shared" ca="1" si="40"/>
        <v>280399</v>
      </c>
      <c r="M188">
        <f t="shared" ca="1" si="41"/>
        <v>12.482212846693461</v>
      </c>
      <c r="N188">
        <f t="shared" ca="1" si="42"/>
        <v>3580.9685483899725</v>
      </c>
      <c r="O188">
        <f t="shared" ca="1" si="43"/>
        <v>3608.4294166526984</v>
      </c>
      <c r="P188">
        <f t="shared" ca="1" si="44"/>
        <v>26.034329651674938</v>
      </c>
      <c r="Q188">
        <f t="shared" ca="1" si="45"/>
        <v>18.188367290896185</v>
      </c>
      <c r="R188">
        <f t="shared" ca="1" si="46"/>
        <v>16.048559374320167</v>
      </c>
      <c r="S188">
        <f t="shared" ca="1" si="47"/>
        <v>26.034329651674938</v>
      </c>
      <c r="T188">
        <f t="shared" ca="1" si="48"/>
        <v>25.321060346149597</v>
      </c>
      <c r="U188">
        <f t="shared" ca="1" si="49"/>
        <v>20.32817520747221</v>
      </c>
    </row>
    <row r="189" spans="1:21" x14ac:dyDescent="0.3">
      <c r="A189" t="s">
        <v>28</v>
      </c>
      <c r="B189">
        <v>8</v>
      </c>
      <c r="C189">
        <v>280455</v>
      </c>
      <c r="D189">
        <v>290440</v>
      </c>
      <c r="E189">
        <v>290517</v>
      </c>
      <c r="F189">
        <v>280472</v>
      </c>
      <c r="G189">
        <v>280434</v>
      </c>
      <c r="H189">
        <v>280440</v>
      </c>
      <c r="I189">
        <v>280436</v>
      </c>
      <c r="J189">
        <v>280444</v>
      </c>
      <c r="K189">
        <v>280455</v>
      </c>
      <c r="L189">
        <f t="shared" ca="1" si="40"/>
        <v>280399</v>
      </c>
      <c r="M189">
        <f t="shared" ca="1" si="41"/>
        <v>19.971540554709538</v>
      </c>
      <c r="N189">
        <f t="shared" ca="1" si="42"/>
        <v>3580.9685483899725</v>
      </c>
      <c r="O189">
        <f t="shared" ca="1" si="43"/>
        <v>3608.4294166526984</v>
      </c>
      <c r="P189">
        <f t="shared" ca="1" si="44"/>
        <v>26.034329651674938</v>
      </c>
      <c r="Q189">
        <f t="shared" ca="1" si="45"/>
        <v>12.482212846693461</v>
      </c>
      <c r="R189">
        <f t="shared" ca="1" si="46"/>
        <v>14.622020763269484</v>
      </c>
      <c r="S189">
        <f t="shared" ca="1" si="47"/>
        <v>13.195482152218801</v>
      </c>
      <c r="T189">
        <f t="shared" ca="1" si="48"/>
        <v>16.048559374320167</v>
      </c>
      <c r="U189">
        <f t="shared" ca="1" si="49"/>
        <v>19.971540554709538</v>
      </c>
    </row>
    <row r="190" spans="1:21" x14ac:dyDescent="0.3">
      <c r="A190" t="s">
        <v>28</v>
      </c>
      <c r="B190">
        <v>9</v>
      </c>
      <c r="C190">
        <v>280399</v>
      </c>
      <c r="D190">
        <v>290440</v>
      </c>
      <c r="E190">
        <v>290517</v>
      </c>
      <c r="F190">
        <v>280472</v>
      </c>
      <c r="G190">
        <v>280460</v>
      </c>
      <c r="H190">
        <v>280444</v>
      </c>
      <c r="I190">
        <v>280430</v>
      </c>
      <c r="J190">
        <v>280489</v>
      </c>
      <c r="K190">
        <v>280413</v>
      </c>
      <c r="L190">
        <f t="shared" ca="1" si="40"/>
        <v>280399</v>
      </c>
      <c r="M190">
        <f t="shared" ca="1" si="41"/>
        <v>0</v>
      </c>
      <c r="N190">
        <f t="shared" ca="1" si="42"/>
        <v>3580.9685483899725</v>
      </c>
      <c r="O190">
        <f t="shared" ca="1" si="43"/>
        <v>3608.4294166526984</v>
      </c>
      <c r="P190">
        <f t="shared" ca="1" si="44"/>
        <v>26.034329651674938</v>
      </c>
      <c r="Q190">
        <f t="shared" ca="1" si="45"/>
        <v>21.754713818522891</v>
      </c>
      <c r="R190">
        <f t="shared" ca="1" si="46"/>
        <v>16.048559374320167</v>
      </c>
      <c r="S190">
        <f t="shared" ca="1" si="47"/>
        <v>11.05567423564278</v>
      </c>
      <c r="T190">
        <f t="shared" ca="1" si="48"/>
        <v>32.097118748640334</v>
      </c>
      <c r="U190">
        <f t="shared" ca="1" si="49"/>
        <v>4.9928851386773845</v>
      </c>
    </row>
    <row r="191" spans="1:21" x14ac:dyDescent="0.3">
      <c r="A191" t="s">
        <v>28</v>
      </c>
      <c r="B191">
        <v>10</v>
      </c>
      <c r="C191">
        <v>280417</v>
      </c>
      <c r="D191">
        <v>290440</v>
      </c>
      <c r="E191">
        <v>290517</v>
      </c>
      <c r="F191">
        <v>280472</v>
      </c>
      <c r="G191">
        <v>280448</v>
      </c>
      <c r="H191">
        <v>280452</v>
      </c>
      <c r="I191">
        <v>280450</v>
      </c>
      <c r="J191">
        <v>280475</v>
      </c>
      <c r="K191">
        <v>280426</v>
      </c>
      <c r="L191">
        <f t="shared" ca="1" si="40"/>
        <v>280399</v>
      </c>
      <c r="M191">
        <f t="shared" ca="1" si="41"/>
        <v>6.4194237497280655</v>
      </c>
      <c r="N191">
        <f t="shared" ca="1" si="42"/>
        <v>3580.9685483899725</v>
      </c>
      <c r="O191">
        <f t="shared" ca="1" si="43"/>
        <v>3608.4294166526984</v>
      </c>
      <c r="P191">
        <f t="shared" ca="1" si="44"/>
        <v>26.034329651674938</v>
      </c>
      <c r="Q191">
        <f t="shared" ca="1" si="45"/>
        <v>17.475097985370844</v>
      </c>
      <c r="R191">
        <f t="shared" ca="1" si="46"/>
        <v>18.901636596421529</v>
      </c>
      <c r="S191">
        <f t="shared" ca="1" si="47"/>
        <v>18.188367290896185</v>
      </c>
      <c r="T191">
        <f t="shared" ca="1" si="48"/>
        <v>27.104233609962947</v>
      </c>
      <c r="U191">
        <f t="shared" ca="1" si="49"/>
        <v>9.6291356245920987</v>
      </c>
    </row>
    <row r="192" spans="1:21" x14ac:dyDescent="0.3">
      <c r="A192" t="s">
        <v>67</v>
      </c>
      <c r="B192">
        <v>1</v>
      </c>
      <c r="C192">
        <v>190331</v>
      </c>
      <c r="D192">
        <v>210457</v>
      </c>
      <c r="E192">
        <v>210452</v>
      </c>
      <c r="F192">
        <v>190403</v>
      </c>
      <c r="G192">
        <v>190390</v>
      </c>
      <c r="H192">
        <v>190344</v>
      </c>
      <c r="I192">
        <v>190327</v>
      </c>
      <c r="J192">
        <v>190365</v>
      </c>
      <c r="K192">
        <v>190327</v>
      </c>
      <c r="L192">
        <f t="shared" ca="1" si="40"/>
        <v>190319</v>
      </c>
      <c r="M192">
        <f t="shared" ca="1" si="41"/>
        <v>6.305203369080334</v>
      </c>
      <c r="N192">
        <f t="shared" ca="1" si="42"/>
        <v>10581.18212054498</v>
      </c>
      <c r="O192">
        <f t="shared" ca="1" si="43"/>
        <v>10578.554952474529</v>
      </c>
      <c r="P192">
        <f t="shared" ca="1" si="44"/>
        <v>44.13642358356234</v>
      </c>
      <c r="Q192">
        <f t="shared" ca="1" si="45"/>
        <v>37.305786600391976</v>
      </c>
      <c r="R192">
        <f t="shared" ca="1" si="46"/>
        <v>13.135840352250694</v>
      </c>
      <c r="S192">
        <f t="shared" ca="1" si="47"/>
        <v>4.2034689127202221</v>
      </c>
      <c r="T192">
        <f t="shared" ca="1" si="48"/>
        <v>24.169946248141279</v>
      </c>
      <c r="U192">
        <f t="shared" ca="1" si="49"/>
        <v>4.2034689127202221</v>
      </c>
    </row>
    <row r="193" spans="1:21" x14ac:dyDescent="0.3">
      <c r="A193" t="s">
        <v>67</v>
      </c>
      <c r="B193">
        <v>2</v>
      </c>
      <c r="C193">
        <v>190339</v>
      </c>
      <c r="D193">
        <v>210457</v>
      </c>
      <c r="E193">
        <v>210452</v>
      </c>
      <c r="F193">
        <v>190403</v>
      </c>
      <c r="G193">
        <v>190401</v>
      </c>
      <c r="H193">
        <v>200358</v>
      </c>
      <c r="I193">
        <v>190331</v>
      </c>
      <c r="J193">
        <v>190320</v>
      </c>
      <c r="K193">
        <v>190335</v>
      </c>
      <c r="L193">
        <f t="shared" ca="1" si="40"/>
        <v>190319</v>
      </c>
      <c r="M193">
        <f t="shared" ca="1" si="41"/>
        <v>10.508672281800555</v>
      </c>
      <c r="N193">
        <f t="shared" ca="1" si="42"/>
        <v>10581.18212054498</v>
      </c>
      <c r="O193">
        <f t="shared" ca="1" si="43"/>
        <v>10578.554952474529</v>
      </c>
      <c r="P193">
        <f t="shared" ca="1" si="44"/>
        <v>44.13642358356234</v>
      </c>
      <c r="Q193">
        <f t="shared" ca="1" si="45"/>
        <v>43.08555635538228</v>
      </c>
      <c r="R193">
        <f t="shared" ca="1" si="46"/>
        <v>5274.8280518497895</v>
      </c>
      <c r="S193">
        <f t="shared" ca="1" si="47"/>
        <v>6.305203369080334</v>
      </c>
      <c r="T193">
        <f t="shared" ca="1" si="48"/>
        <v>0.52543361409002776</v>
      </c>
      <c r="U193">
        <f t="shared" ca="1" si="49"/>
        <v>8.4069378254404441</v>
      </c>
    </row>
    <row r="194" spans="1:21" x14ac:dyDescent="0.3">
      <c r="A194" t="s">
        <v>29</v>
      </c>
      <c r="B194">
        <v>3</v>
      </c>
      <c r="C194">
        <v>190325</v>
      </c>
      <c r="D194">
        <v>210457</v>
      </c>
      <c r="E194">
        <v>210452</v>
      </c>
      <c r="F194">
        <v>190403</v>
      </c>
      <c r="G194">
        <v>190355</v>
      </c>
      <c r="H194">
        <v>190355</v>
      </c>
      <c r="I194">
        <v>190327</v>
      </c>
      <c r="J194">
        <v>190346</v>
      </c>
      <c r="K194">
        <v>190323</v>
      </c>
      <c r="L194">
        <f t="shared" ca="1" si="40"/>
        <v>190319</v>
      </c>
      <c r="M194">
        <f t="shared" ca="1" si="41"/>
        <v>3.152601684540167</v>
      </c>
      <c r="N194">
        <f t="shared" ca="1" si="42"/>
        <v>10581.18212054498</v>
      </c>
      <c r="O194">
        <f t="shared" ca="1" si="43"/>
        <v>10578.554952474529</v>
      </c>
      <c r="P194">
        <f t="shared" ca="1" si="44"/>
        <v>44.13642358356234</v>
      </c>
      <c r="Q194">
        <f t="shared" ca="1" si="45"/>
        <v>18.915610107241001</v>
      </c>
      <c r="R194">
        <f t="shared" ca="1" si="46"/>
        <v>18.915610107241001</v>
      </c>
      <c r="S194">
        <f t="shared" ca="1" si="47"/>
        <v>4.2034689127202221</v>
      </c>
      <c r="T194">
        <f t="shared" ca="1" si="48"/>
        <v>14.186707580430751</v>
      </c>
      <c r="U194">
        <f t="shared" ca="1" si="49"/>
        <v>2.101734456360111</v>
      </c>
    </row>
    <row r="195" spans="1:21" x14ac:dyDescent="0.3">
      <c r="A195" t="s">
        <v>29</v>
      </c>
      <c r="B195">
        <v>4</v>
      </c>
      <c r="C195">
        <v>190333</v>
      </c>
      <c r="D195">
        <v>210457</v>
      </c>
      <c r="E195">
        <v>210452</v>
      </c>
      <c r="F195">
        <v>190403</v>
      </c>
      <c r="G195">
        <v>190374</v>
      </c>
      <c r="H195">
        <v>190344</v>
      </c>
      <c r="I195">
        <v>190327</v>
      </c>
      <c r="J195">
        <v>190327</v>
      </c>
      <c r="K195">
        <v>190334</v>
      </c>
      <c r="L195">
        <f t="shared" ref="L195:L258" ca="1" si="50">MIN(INDIRECT("C" &amp; (10*INT((ROW()-2)/10)+2) &amp; ":K" &amp; (10*INT((ROW()-2)/10)+11)))</f>
        <v>190319</v>
      </c>
      <c r="M195">
        <f t="shared" ref="M195:M258" ca="1" si="51">(C195-$L195)/$L195*100*1000</f>
        <v>7.3560705972603895</v>
      </c>
      <c r="N195">
        <f t="shared" ref="N195:N258" ca="1" si="52">(D195-$L195)/$L195*100*1000</f>
        <v>10581.18212054498</v>
      </c>
      <c r="O195">
        <f t="shared" ref="O195:O258" ca="1" si="53">(E195-$L195)/$L195*100*1000</f>
        <v>10578.554952474529</v>
      </c>
      <c r="P195">
        <f t="shared" ref="P195:P258" ca="1" si="54">(F195-$L195)/$L195*100*1000</f>
        <v>44.13642358356234</v>
      </c>
      <c r="Q195">
        <f t="shared" ref="Q195:Q258" ca="1" si="55">(G195-$L195)/$L195*100*1000</f>
        <v>28.898848774951524</v>
      </c>
      <c r="R195">
        <f t="shared" ref="R195:R258" ca="1" si="56">(H195-$L195)/$L195*100*1000</f>
        <v>13.135840352250694</v>
      </c>
      <c r="S195">
        <f t="shared" ref="S195:S258" ca="1" si="57">(I195-$L195)/$L195*100*1000</f>
        <v>4.2034689127202221</v>
      </c>
      <c r="T195">
        <f t="shared" ref="T195:T258" ca="1" si="58">(J195-$L195)/$L195*100*1000</f>
        <v>4.2034689127202221</v>
      </c>
      <c r="U195">
        <f t="shared" ref="U195:U258" ca="1" si="59">(K195-$L195)/$L195*100*1000</f>
        <v>7.8815042113504177</v>
      </c>
    </row>
    <row r="196" spans="1:21" x14ac:dyDescent="0.3">
      <c r="A196" t="s">
        <v>29</v>
      </c>
      <c r="B196">
        <v>5</v>
      </c>
      <c r="C196">
        <v>190341</v>
      </c>
      <c r="D196">
        <v>210457</v>
      </c>
      <c r="E196">
        <v>210452</v>
      </c>
      <c r="F196">
        <v>190403</v>
      </c>
      <c r="G196">
        <v>190334</v>
      </c>
      <c r="H196">
        <v>190325</v>
      </c>
      <c r="I196">
        <v>190357</v>
      </c>
      <c r="J196">
        <v>190327</v>
      </c>
      <c r="K196">
        <v>190336</v>
      </c>
      <c r="L196">
        <f t="shared" ca="1" si="50"/>
        <v>190319</v>
      </c>
      <c r="M196">
        <f t="shared" ca="1" si="51"/>
        <v>11.55953950998061</v>
      </c>
      <c r="N196">
        <f t="shared" ca="1" si="52"/>
        <v>10581.18212054498</v>
      </c>
      <c r="O196">
        <f t="shared" ca="1" si="53"/>
        <v>10578.554952474529</v>
      </c>
      <c r="P196">
        <f t="shared" ca="1" si="54"/>
        <v>44.13642358356234</v>
      </c>
      <c r="Q196">
        <f t="shared" ca="1" si="55"/>
        <v>7.8815042113504177</v>
      </c>
      <c r="R196">
        <f t="shared" ca="1" si="56"/>
        <v>3.152601684540167</v>
      </c>
      <c r="S196">
        <f t="shared" ca="1" si="57"/>
        <v>19.966477335421054</v>
      </c>
      <c r="T196">
        <f t="shared" ca="1" si="58"/>
        <v>4.2034689127202221</v>
      </c>
      <c r="U196">
        <f t="shared" ca="1" si="59"/>
        <v>8.9323714395304723</v>
      </c>
    </row>
    <row r="197" spans="1:21" x14ac:dyDescent="0.3">
      <c r="A197" t="s">
        <v>29</v>
      </c>
      <c r="B197">
        <v>6</v>
      </c>
      <c r="C197">
        <v>190331</v>
      </c>
      <c r="D197">
        <v>210457</v>
      </c>
      <c r="E197">
        <v>210452</v>
      </c>
      <c r="F197">
        <v>190403</v>
      </c>
      <c r="G197">
        <v>190331</v>
      </c>
      <c r="H197">
        <v>190343</v>
      </c>
      <c r="I197">
        <v>190319</v>
      </c>
      <c r="J197">
        <v>190344</v>
      </c>
      <c r="K197">
        <v>190327</v>
      </c>
      <c r="L197">
        <f t="shared" ca="1" si="50"/>
        <v>190319</v>
      </c>
      <c r="M197">
        <f t="shared" ca="1" si="51"/>
        <v>6.305203369080334</v>
      </c>
      <c r="N197">
        <f t="shared" ca="1" si="52"/>
        <v>10581.18212054498</v>
      </c>
      <c r="O197">
        <f t="shared" ca="1" si="53"/>
        <v>10578.554952474529</v>
      </c>
      <c r="P197">
        <f t="shared" ca="1" si="54"/>
        <v>44.13642358356234</v>
      </c>
      <c r="Q197">
        <f t="shared" ca="1" si="55"/>
        <v>6.305203369080334</v>
      </c>
      <c r="R197">
        <f t="shared" ca="1" si="56"/>
        <v>12.610406738160668</v>
      </c>
      <c r="S197">
        <f t="shared" ca="1" si="57"/>
        <v>0</v>
      </c>
      <c r="T197">
        <f t="shared" ca="1" si="58"/>
        <v>13.135840352250694</v>
      </c>
      <c r="U197">
        <f t="shared" ca="1" si="59"/>
        <v>4.2034689127202221</v>
      </c>
    </row>
    <row r="198" spans="1:21" x14ac:dyDescent="0.3">
      <c r="A198" t="s">
        <v>29</v>
      </c>
      <c r="B198">
        <v>7</v>
      </c>
      <c r="C198">
        <v>190325</v>
      </c>
      <c r="D198">
        <v>210457</v>
      </c>
      <c r="E198">
        <v>210452</v>
      </c>
      <c r="F198">
        <v>190403</v>
      </c>
      <c r="G198">
        <v>190395</v>
      </c>
      <c r="H198">
        <v>190355</v>
      </c>
      <c r="I198">
        <v>190327</v>
      </c>
      <c r="J198">
        <v>190323</v>
      </c>
      <c r="K198">
        <v>190325</v>
      </c>
      <c r="L198">
        <f t="shared" ca="1" si="50"/>
        <v>190319</v>
      </c>
      <c r="M198">
        <f t="shared" ca="1" si="51"/>
        <v>3.152601684540167</v>
      </c>
      <c r="N198">
        <f t="shared" ca="1" si="52"/>
        <v>10581.18212054498</v>
      </c>
      <c r="O198">
        <f t="shared" ca="1" si="53"/>
        <v>10578.554952474529</v>
      </c>
      <c r="P198">
        <f t="shared" ca="1" si="54"/>
        <v>44.13642358356234</v>
      </c>
      <c r="Q198">
        <f t="shared" ca="1" si="55"/>
        <v>39.932954670842108</v>
      </c>
      <c r="R198">
        <f t="shared" ca="1" si="56"/>
        <v>18.915610107241001</v>
      </c>
      <c r="S198">
        <f t="shared" ca="1" si="57"/>
        <v>4.2034689127202221</v>
      </c>
      <c r="T198">
        <f t="shared" ca="1" si="58"/>
        <v>2.101734456360111</v>
      </c>
      <c r="U198">
        <f t="shared" ca="1" si="59"/>
        <v>3.152601684540167</v>
      </c>
    </row>
    <row r="199" spans="1:21" x14ac:dyDescent="0.3">
      <c r="A199" t="s">
        <v>29</v>
      </c>
      <c r="B199">
        <v>8</v>
      </c>
      <c r="C199">
        <v>190331</v>
      </c>
      <c r="D199">
        <v>210457</v>
      </c>
      <c r="E199">
        <v>210452</v>
      </c>
      <c r="F199">
        <v>190403</v>
      </c>
      <c r="G199">
        <v>190367</v>
      </c>
      <c r="H199">
        <v>190354</v>
      </c>
      <c r="I199">
        <v>190351</v>
      </c>
      <c r="J199">
        <v>190327</v>
      </c>
      <c r="K199">
        <v>190327</v>
      </c>
      <c r="L199">
        <f t="shared" ca="1" si="50"/>
        <v>190319</v>
      </c>
      <c r="M199">
        <f t="shared" ca="1" si="51"/>
        <v>6.305203369080334</v>
      </c>
      <c r="N199">
        <f t="shared" ca="1" si="52"/>
        <v>10581.18212054498</v>
      </c>
      <c r="O199">
        <f t="shared" ca="1" si="53"/>
        <v>10578.554952474529</v>
      </c>
      <c r="P199">
        <f t="shared" ca="1" si="54"/>
        <v>44.13642358356234</v>
      </c>
      <c r="Q199">
        <f t="shared" ca="1" si="55"/>
        <v>25.220813476321336</v>
      </c>
      <c r="R199">
        <f t="shared" ca="1" si="56"/>
        <v>18.390176493150971</v>
      </c>
      <c r="S199">
        <f t="shared" ca="1" si="57"/>
        <v>16.813875650880888</v>
      </c>
      <c r="T199">
        <f t="shared" ca="1" si="58"/>
        <v>4.2034689127202221</v>
      </c>
      <c r="U199">
        <f t="shared" ca="1" si="59"/>
        <v>4.2034689127202221</v>
      </c>
    </row>
    <row r="200" spans="1:21" x14ac:dyDescent="0.3">
      <c r="A200" t="s">
        <v>29</v>
      </c>
      <c r="B200">
        <v>9</v>
      </c>
      <c r="C200">
        <v>190345</v>
      </c>
      <c r="D200">
        <v>210457</v>
      </c>
      <c r="E200">
        <v>210452</v>
      </c>
      <c r="F200">
        <v>190403</v>
      </c>
      <c r="G200">
        <v>190329</v>
      </c>
      <c r="H200">
        <v>190362</v>
      </c>
      <c r="I200">
        <v>190319</v>
      </c>
      <c r="J200">
        <v>190328</v>
      </c>
      <c r="K200">
        <v>190342</v>
      </c>
      <c r="L200">
        <f t="shared" ca="1" si="50"/>
        <v>190319</v>
      </c>
      <c r="M200">
        <f t="shared" ca="1" si="51"/>
        <v>13.661273966340723</v>
      </c>
      <c r="N200">
        <f t="shared" ca="1" si="52"/>
        <v>10581.18212054498</v>
      </c>
      <c r="O200">
        <f t="shared" ca="1" si="53"/>
        <v>10578.554952474529</v>
      </c>
      <c r="P200">
        <f t="shared" ca="1" si="54"/>
        <v>44.13642358356234</v>
      </c>
      <c r="Q200">
        <f t="shared" ca="1" si="55"/>
        <v>5.2543361409002776</v>
      </c>
      <c r="R200">
        <f t="shared" ca="1" si="56"/>
        <v>22.593645405871193</v>
      </c>
      <c r="S200">
        <f t="shared" ca="1" si="57"/>
        <v>0</v>
      </c>
      <c r="T200">
        <f t="shared" ca="1" si="58"/>
        <v>4.7289025268102503</v>
      </c>
      <c r="U200">
        <f t="shared" ca="1" si="59"/>
        <v>12.08497312407064</v>
      </c>
    </row>
    <row r="201" spans="1:21" x14ac:dyDescent="0.3">
      <c r="A201" t="s">
        <v>29</v>
      </c>
      <c r="B201">
        <v>10</v>
      </c>
      <c r="C201">
        <v>190322</v>
      </c>
      <c r="D201">
        <v>210457</v>
      </c>
      <c r="E201">
        <v>210452</v>
      </c>
      <c r="F201">
        <v>190403</v>
      </c>
      <c r="G201">
        <v>190323</v>
      </c>
      <c r="H201">
        <v>190325</v>
      </c>
      <c r="I201">
        <v>190351</v>
      </c>
      <c r="J201">
        <v>190350</v>
      </c>
      <c r="K201">
        <v>190319</v>
      </c>
      <c r="L201">
        <f t="shared" ca="1" si="50"/>
        <v>190319</v>
      </c>
      <c r="M201">
        <f t="shared" ca="1" si="51"/>
        <v>1.5763008422700835</v>
      </c>
      <c r="N201">
        <f t="shared" ca="1" si="52"/>
        <v>10581.18212054498</v>
      </c>
      <c r="O201">
        <f t="shared" ca="1" si="53"/>
        <v>10578.554952474529</v>
      </c>
      <c r="P201">
        <f t="shared" ca="1" si="54"/>
        <v>44.13642358356234</v>
      </c>
      <c r="Q201">
        <f t="shared" ca="1" si="55"/>
        <v>2.101734456360111</v>
      </c>
      <c r="R201">
        <f t="shared" ca="1" si="56"/>
        <v>3.152601684540167</v>
      </c>
      <c r="S201">
        <f t="shared" ca="1" si="57"/>
        <v>16.813875650880888</v>
      </c>
      <c r="T201">
        <f t="shared" ca="1" si="58"/>
        <v>16.288442036790862</v>
      </c>
      <c r="U201">
        <f t="shared" ca="1" si="59"/>
        <v>0</v>
      </c>
    </row>
    <row r="202" spans="1:21" x14ac:dyDescent="0.3">
      <c r="A202" t="s">
        <v>16</v>
      </c>
      <c r="B202">
        <v>1</v>
      </c>
      <c r="C202">
        <v>411289</v>
      </c>
      <c r="D202">
        <v>461659</v>
      </c>
      <c r="E202">
        <v>441885</v>
      </c>
      <c r="F202">
        <v>411592</v>
      </c>
      <c r="G202">
        <v>411340</v>
      </c>
      <c r="H202">
        <v>421384</v>
      </c>
      <c r="I202">
        <v>411719</v>
      </c>
      <c r="J202">
        <v>411268</v>
      </c>
      <c r="K202">
        <v>411347</v>
      </c>
      <c r="L202">
        <f t="shared" ca="1" si="50"/>
        <v>411155</v>
      </c>
      <c r="M202">
        <f t="shared" ca="1" si="51"/>
        <v>32.591115272828986</v>
      </c>
      <c r="N202">
        <f t="shared" ca="1" si="52"/>
        <v>12283.445415962351</v>
      </c>
      <c r="O202">
        <f t="shared" ca="1" si="53"/>
        <v>7474.0669577166773</v>
      </c>
      <c r="P202">
        <f t="shared" ca="1" si="54"/>
        <v>106.28595055392734</v>
      </c>
      <c r="Q202">
        <f t="shared" ca="1" si="55"/>
        <v>44.995196458756432</v>
      </c>
      <c r="R202">
        <f t="shared" ca="1" si="56"/>
        <v>2487.8695382519977</v>
      </c>
      <c r="S202">
        <f t="shared" ca="1" si="57"/>
        <v>137.17454487966825</v>
      </c>
      <c r="T202">
        <f t="shared" ca="1" si="58"/>
        <v>27.483552431564739</v>
      </c>
      <c r="U202">
        <f t="shared" ca="1" si="59"/>
        <v>46.697717405844507</v>
      </c>
    </row>
    <row r="203" spans="1:21" x14ac:dyDescent="0.3">
      <c r="A203" t="s">
        <v>16</v>
      </c>
      <c r="B203">
        <v>2</v>
      </c>
      <c r="C203">
        <v>411171</v>
      </c>
      <c r="D203">
        <v>461659</v>
      </c>
      <c r="E203">
        <v>441885</v>
      </c>
      <c r="F203">
        <v>411592</v>
      </c>
      <c r="G203">
        <v>411432</v>
      </c>
      <c r="H203">
        <v>421221</v>
      </c>
      <c r="I203">
        <v>411723</v>
      </c>
      <c r="J203">
        <v>411339</v>
      </c>
      <c r="K203">
        <v>411283</v>
      </c>
      <c r="L203">
        <f t="shared" ca="1" si="50"/>
        <v>411155</v>
      </c>
      <c r="M203">
        <f t="shared" ca="1" si="51"/>
        <v>3.8914764504870427</v>
      </c>
      <c r="N203">
        <f t="shared" ca="1" si="52"/>
        <v>12283.445415962351</v>
      </c>
      <c r="O203">
        <f t="shared" ca="1" si="53"/>
        <v>7474.0669577166773</v>
      </c>
      <c r="P203">
        <f t="shared" ca="1" si="54"/>
        <v>106.28595055392734</v>
      </c>
      <c r="Q203">
        <f t="shared" ca="1" si="55"/>
        <v>67.371186049056931</v>
      </c>
      <c r="R203">
        <f t="shared" ca="1" si="56"/>
        <v>2448.2251219126606</v>
      </c>
      <c r="S203">
        <f t="shared" ca="1" si="57"/>
        <v>138.14741399228998</v>
      </c>
      <c r="T203">
        <f t="shared" ca="1" si="58"/>
        <v>44.751979180600991</v>
      </c>
      <c r="U203">
        <f t="shared" ca="1" si="59"/>
        <v>31.131811603896342</v>
      </c>
    </row>
    <row r="204" spans="1:21" x14ac:dyDescent="0.3">
      <c r="A204" t="s">
        <v>53</v>
      </c>
      <c r="B204">
        <v>3</v>
      </c>
      <c r="C204">
        <v>411279</v>
      </c>
      <c r="D204">
        <v>461659</v>
      </c>
      <c r="E204">
        <v>441885</v>
      </c>
      <c r="F204">
        <v>411592</v>
      </c>
      <c r="G204">
        <v>421343</v>
      </c>
      <c r="H204">
        <v>421371</v>
      </c>
      <c r="I204">
        <v>411772</v>
      </c>
      <c r="J204">
        <v>411329</v>
      </c>
      <c r="K204">
        <v>411324</v>
      </c>
      <c r="L204">
        <f t="shared" ca="1" si="50"/>
        <v>411155</v>
      </c>
      <c r="M204">
        <f t="shared" ca="1" si="51"/>
        <v>30.158942491274576</v>
      </c>
      <c r="N204">
        <f t="shared" ca="1" si="52"/>
        <v>12283.445415962351</v>
      </c>
      <c r="O204">
        <f t="shared" ca="1" si="53"/>
        <v>7474.0669577166773</v>
      </c>
      <c r="P204">
        <f t="shared" ca="1" si="54"/>
        <v>106.28595055392734</v>
      </c>
      <c r="Q204">
        <f t="shared" ca="1" si="55"/>
        <v>2477.8976298476241</v>
      </c>
      <c r="R204">
        <f t="shared" ca="1" si="56"/>
        <v>2484.7077136359767</v>
      </c>
      <c r="S204">
        <f t="shared" ca="1" si="57"/>
        <v>150.06506062190658</v>
      </c>
      <c r="T204">
        <f t="shared" ca="1" si="58"/>
        <v>42.319806399046591</v>
      </c>
      <c r="U204">
        <f t="shared" ca="1" si="59"/>
        <v>41.103720008269384</v>
      </c>
    </row>
    <row r="205" spans="1:21" x14ac:dyDescent="0.3">
      <c r="A205" t="s">
        <v>53</v>
      </c>
      <c r="B205">
        <v>4</v>
      </c>
      <c r="C205">
        <v>411182</v>
      </c>
      <c r="D205">
        <v>461659</v>
      </c>
      <c r="E205">
        <v>441885</v>
      </c>
      <c r="F205">
        <v>411592</v>
      </c>
      <c r="G205">
        <v>421449</v>
      </c>
      <c r="H205">
        <v>411334</v>
      </c>
      <c r="I205">
        <v>411686</v>
      </c>
      <c r="J205">
        <v>411290</v>
      </c>
      <c r="K205">
        <v>411211</v>
      </c>
      <c r="L205">
        <f t="shared" ca="1" si="50"/>
        <v>411155</v>
      </c>
      <c r="M205">
        <f t="shared" ca="1" si="51"/>
        <v>6.5668665101968839</v>
      </c>
      <c r="N205">
        <f t="shared" ca="1" si="52"/>
        <v>12283.445415962351</v>
      </c>
      <c r="O205">
        <f t="shared" ca="1" si="53"/>
        <v>7474.0669577166773</v>
      </c>
      <c r="P205">
        <f t="shared" ca="1" si="54"/>
        <v>106.28595055392734</v>
      </c>
      <c r="Q205">
        <f t="shared" ca="1" si="55"/>
        <v>2503.678661332101</v>
      </c>
      <c r="R205">
        <f t="shared" ca="1" si="56"/>
        <v>43.535892789823791</v>
      </c>
      <c r="S205">
        <f t="shared" ca="1" si="57"/>
        <v>129.14837470053871</v>
      </c>
      <c r="T205">
        <f t="shared" ca="1" si="58"/>
        <v>32.834332550984421</v>
      </c>
      <c r="U205">
        <f t="shared" ca="1" si="59"/>
        <v>13.620167576704649</v>
      </c>
    </row>
    <row r="206" spans="1:21" x14ac:dyDescent="0.3">
      <c r="A206" t="s">
        <v>53</v>
      </c>
      <c r="B206">
        <v>5</v>
      </c>
      <c r="C206">
        <v>411239</v>
      </c>
      <c r="D206">
        <v>461659</v>
      </c>
      <c r="E206">
        <v>441885</v>
      </c>
      <c r="F206">
        <v>411592</v>
      </c>
      <c r="G206">
        <v>421273</v>
      </c>
      <c r="H206">
        <v>411440</v>
      </c>
      <c r="I206">
        <v>411745</v>
      </c>
      <c r="J206">
        <v>411293</v>
      </c>
      <c r="K206">
        <v>411231</v>
      </c>
      <c r="L206">
        <f t="shared" ca="1" si="50"/>
        <v>411155</v>
      </c>
      <c r="M206">
        <f t="shared" ca="1" si="51"/>
        <v>20.430251365056975</v>
      </c>
      <c r="N206">
        <f t="shared" ca="1" si="52"/>
        <v>12283.445415962351</v>
      </c>
      <c r="O206">
        <f t="shared" ca="1" si="53"/>
        <v>7474.0669577166773</v>
      </c>
      <c r="P206">
        <f t="shared" ca="1" si="54"/>
        <v>106.28595055392734</v>
      </c>
      <c r="Q206">
        <f t="shared" ca="1" si="55"/>
        <v>2460.8724203767433</v>
      </c>
      <c r="R206">
        <f t="shared" ca="1" si="56"/>
        <v>69.316924274300447</v>
      </c>
      <c r="S206">
        <f t="shared" ca="1" si="57"/>
        <v>143.49819411170969</v>
      </c>
      <c r="T206">
        <f t="shared" ca="1" si="58"/>
        <v>33.563984385450738</v>
      </c>
      <c r="U206">
        <f t="shared" ca="1" si="59"/>
        <v>18.484513139813455</v>
      </c>
    </row>
    <row r="207" spans="1:21" x14ac:dyDescent="0.3">
      <c r="A207" t="s">
        <v>53</v>
      </c>
      <c r="B207">
        <v>6</v>
      </c>
      <c r="C207">
        <v>411155</v>
      </c>
      <c r="D207">
        <v>461659</v>
      </c>
      <c r="E207">
        <v>441885</v>
      </c>
      <c r="F207">
        <v>411592</v>
      </c>
      <c r="G207">
        <v>421369</v>
      </c>
      <c r="H207">
        <v>421312</v>
      </c>
      <c r="I207">
        <v>411741</v>
      </c>
      <c r="J207">
        <v>411303</v>
      </c>
      <c r="K207">
        <v>411210</v>
      </c>
      <c r="L207">
        <f t="shared" ca="1" si="50"/>
        <v>411155</v>
      </c>
      <c r="M207">
        <f t="shared" ca="1" si="51"/>
        <v>0</v>
      </c>
      <c r="N207">
        <f t="shared" ca="1" si="52"/>
        <v>12283.445415962351</v>
      </c>
      <c r="O207">
        <f t="shared" ca="1" si="53"/>
        <v>7474.0669577166773</v>
      </c>
      <c r="P207">
        <f t="shared" ca="1" si="54"/>
        <v>106.28595055392734</v>
      </c>
      <c r="Q207">
        <f t="shared" ca="1" si="55"/>
        <v>2484.2212790796657</v>
      </c>
      <c r="R207">
        <f t="shared" ca="1" si="56"/>
        <v>2470.3578942248055</v>
      </c>
      <c r="S207">
        <f t="shared" ca="1" si="57"/>
        <v>142.52532499908793</v>
      </c>
      <c r="T207">
        <f t="shared" ca="1" si="58"/>
        <v>35.996157167005137</v>
      </c>
      <c r="U207">
        <f t="shared" ca="1" si="59"/>
        <v>13.376950298549209</v>
      </c>
    </row>
    <row r="208" spans="1:21" x14ac:dyDescent="0.3">
      <c r="A208" t="s">
        <v>53</v>
      </c>
      <c r="B208">
        <v>7</v>
      </c>
      <c r="C208">
        <v>411289</v>
      </c>
      <c r="D208">
        <v>461659</v>
      </c>
      <c r="E208">
        <v>441885</v>
      </c>
      <c r="F208">
        <v>411592</v>
      </c>
      <c r="G208">
        <v>411416</v>
      </c>
      <c r="H208">
        <v>421270</v>
      </c>
      <c r="I208">
        <v>411752</v>
      </c>
      <c r="J208">
        <v>411235</v>
      </c>
      <c r="K208">
        <v>411303</v>
      </c>
      <c r="L208">
        <f t="shared" ca="1" si="50"/>
        <v>411155</v>
      </c>
      <c r="M208">
        <f t="shared" ca="1" si="51"/>
        <v>32.591115272828986</v>
      </c>
      <c r="N208">
        <f t="shared" ca="1" si="52"/>
        <v>12283.445415962351</v>
      </c>
      <c r="O208">
        <f t="shared" ca="1" si="53"/>
        <v>7474.0669577166773</v>
      </c>
      <c r="P208">
        <f t="shared" ca="1" si="54"/>
        <v>106.28595055392734</v>
      </c>
      <c r="Q208">
        <f t="shared" ca="1" si="55"/>
        <v>63.479709598569883</v>
      </c>
      <c r="R208">
        <f t="shared" ca="1" si="56"/>
        <v>2460.1427685422773</v>
      </c>
      <c r="S208">
        <f t="shared" ca="1" si="57"/>
        <v>145.20071505879778</v>
      </c>
      <c r="T208">
        <f t="shared" ca="1" si="58"/>
        <v>19.45738225243521</v>
      </c>
      <c r="U208">
        <f t="shared" ca="1" si="59"/>
        <v>35.996157167005137</v>
      </c>
    </row>
    <row r="209" spans="1:21" x14ac:dyDescent="0.3">
      <c r="A209" t="s">
        <v>53</v>
      </c>
      <c r="B209">
        <v>8</v>
      </c>
      <c r="C209">
        <v>411215</v>
      </c>
      <c r="D209">
        <v>461659</v>
      </c>
      <c r="E209">
        <v>441885</v>
      </c>
      <c r="F209">
        <v>411592</v>
      </c>
      <c r="G209">
        <v>411473</v>
      </c>
      <c r="H209">
        <v>411395</v>
      </c>
      <c r="I209">
        <v>411733</v>
      </c>
      <c r="J209">
        <v>411242</v>
      </c>
      <c r="K209">
        <v>411284</v>
      </c>
      <c r="L209">
        <f t="shared" ca="1" si="50"/>
        <v>411155</v>
      </c>
      <c r="M209">
        <f t="shared" ca="1" si="51"/>
        <v>14.593036689326409</v>
      </c>
      <c r="N209">
        <f t="shared" ca="1" si="52"/>
        <v>12283.445415962351</v>
      </c>
      <c r="O209">
        <f t="shared" ca="1" si="53"/>
        <v>7474.0669577166773</v>
      </c>
      <c r="P209">
        <f t="shared" ca="1" si="54"/>
        <v>106.28595055392734</v>
      </c>
      <c r="Q209">
        <f t="shared" ca="1" si="55"/>
        <v>77.34309445342997</v>
      </c>
      <c r="R209">
        <f t="shared" ca="1" si="56"/>
        <v>58.372146757305636</v>
      </c>
      <c r="S209">
        <f t="shared" ca="1" si="57"/>
        <v>140.57958677384443</v>
      </c>
      <c r="T209">
        <f t="shared" ca="1" si="58"/>
        <v>21.159903199523296</v>
      </c>
      <c r="U209">
        <f t="shared" ca="1" si="59"/>
        <v>31.37502888205178</v>
      </c>
    </row>
    <row r="210" spans="1:21" x14ac:dyDescent="0.3">
      <c r="A210" t="s">
        <v>53</v>
      </c>
      <c r="B210">
        <v>9</v>
      </c>
      <c r="C210">
        <v>411192</v>
      </c>
      <c r="D210">
        <v>461659</v>
      </c>
      <c r="E210">
        <v>441885</v>
      </c>
      <c r="F210">
        <v>411592</v>
      </c>
      <c r="G210">
        <v>421404</v>
      </c>
      <c r="H210">
        <v>421363</v>
      </c>
      <c r="I210">
        <v>411744</v>
      </c>
      <c r="J210">
        <v>411328</v>
      </c>
      <c r="K210">
        <v>411220</v>
      </c>
      <c r="L210">
        <f t="shared" ca="1" si="50"/>
        <v>411155</v>
      </c>
      <c r="M210">
        <f t="shared" ca="1" si="51"/>
        <v>8.9990392917512843</v>
      </c>
      <c r="N210">
        <f t="shared" ca="1" si="52"/>
        <v>12283.445415962351</v>
      </c>
      <c r="O210">
        <f t="shared" ca="1" si="53"/>
        <v>7474.0669577166773</v>
      </c>
      <c r="P210">
        <f t="shared" ca="1" si="54"/>
        <v>106.28595055392734</v>
      </c>
      <c r="Q210">
        <f t="shared" ca="1" si="55"/>
        <v>2492.7338838151063</v>
      </c>
      <c r="R210">
        <f t="shared" ca="1" si="56"/>
        <v>2482.7619754107332</v>
      </c>
      <c r="S210">
        <f t="shared" ca="1" si="57"/>
        <v>143.25497683355425</v>
      </c>
      <c r="T210">
        <f t="shared" ca="1" si="58"/>
        <v>42.07658912089115</v>
      </c>
      <c r="U210">
        <f t="shared" ca="1" si="59"/>
        <v>15.809123080103609</v>
      </c>
    </row>
    <row r="211" spans="1:21" x14ac:dyDescent="0.3">
      <c r="A211" t="s">
        <v>53</v>
      </c>
      <c r="B211">
        <v>10</v>
      </c>
      <c r="C211">
        <v>411208</v>
      </c>
      <c r="D211">
        <v>461659</v>
      </c>
      <c r="E211">
        <v>441885</v>
      </c>
      <c r="F211">
        <v>411592</v>
      </c>
      <c r="G211">
        <v>411469</v>
      </c>
      <c r="H211">
        <v>421172</v>
      </c>
      <c r="I211">
        <v>411763</v>
      </c>
      <c r="J211">
        <v>411208</v>
      </c>
      <c r="K211">
        <v>411227</v>
      </c>
      <c r="L211">
        <f t="shared" ca="1" si="50"/>
        <v>411155</v>
      </c>
      <c r="M211">
        <f t="shared" ca="1" si="51"/>
        <v>12.890515742238328</v>
      </c>
      <c r="N211">
        <f t="shared" ca="1" si="52"/>
        <v>12283.445415962351</v>
      </c>
      <c r="O211">
        <f t="shared" ca="1" si="53"/>
        <v>7474.0669577166773</v>
      </c>
      <c r="P211">
        <f t="shared" ca="1" si="54"/>
        <v>106.28595055392734</v>
      </c>
      <c r="Q211">
        <f t="shared" ca="1" si="55"/>
        <v>76.370225340808204</v>
      </c>
      <c r="R211">
        <f t="shared" ca="1" si="56"/>
        <v>2436.3074752830444</v>
      </c>
      <c r="S211">
        <f t="shared" ca="1" si="57"/>
        <v>147.87610511850764</v>
      </c>
      <c r="T211">
        <f t="shared" ca="1" si="58"/>
        <v>12.890515742238328</v>
      </c>
      <c r="U211">
        <f t="shared" ca="1" si="59"/>
        <v>17.511644027191693</v>
      </c>
    </row>
    <row r="212" spans="1:21" x14ac:dyDescent="0.3">
      <c r="A212" t="s">
        <v>68</v>
      </c>
      <c r="B212">
        <v>1</v>
      </c>
      <c r="C212">
        <v>400546</v>
      </c>
      <c r="D212">
        <v>450656</v>
      </c>
      <c r="E212">
        <v>440695</v>
      </c>
      <c r="F212">
        <v>400761</v>
      </c>
      <c r="G212">
        <v>400650</v>
      </c>
      <c r="H212">
        <v>400652</v>
      </c>
      <c r="I212">
        <v>400994</v>
      </c>
      <c r="J212">
        <v>400774</v>
      </c>
      <c r="K212">
        <v>400758</v>
      </c>
      <c r="L212">
        <f t="shared" ca="1" si="50"/>
        <v>400532</v>
      </c>
      <c r="M212">
        <f t="shared" ca="1" si="51"/>
        <v>3.4953511829267074</v>
      </c>
      <c r="N212">
        <f t="shared" ca="1" si="52"/>
        <v>12514.355906644165</v>
      </c>
      <c r="O212">
        <f t="shared" ca="1" si="53"/>
        <v>10027.41353999181</v>
      </c>
      <c r="P212">
        <f t="shared" ca="1" si="54"/>
        <v>57.173958635015431</v>
      </c>
      <c r="Q212">
        <f t="shared" ca="1" si="55"/>
        <v>29.460817113239393</v>
      </c>
      <c r="R212">
        <f t="shared" ca="1" si="56"/>
        <v>29.960152996514633</v>
      </c>
      <c r="S212">
        <f t="shared" ca="1" si="57"/>
        <v>115.34658903658135</v>
      </c>
      <c r="T212">
        <f t="shared" ca="1" si="58"/>
        <v>60.419641876304517</v>
      </c>
      <c r="U212">
        <f t="shared" ca="1" si="59"/>
        <v>56.42495481010257</v>
      </c>
    </row>
    <row r="213" spans="1:21" x14ac:dyDescent="0.3">
      <c r="A213" t="s">
        <v>68</v>
      </c>
      <c r="B213">
        <v>2</v>
      </c>
      <c r="C213">
        <v>400642</v>
      </c>
      <c r="D213">
        <v>450656</v>
      </c>
      <c r="E213">
        <v>440695</v>
      </c>
      <c r="F213">
        <v>400761</v>
      </c>
      <c r="G213">
        <v>410689</v>
      </c>
      <c r="H213">
        <v>400589</v>
      </c>
      <c r="I213">
        <v>400925</v>
      </c>
      <c r="J213">
        <v>400752</v>
      </c>
      <c r="K213">
        <v>400806</v>
      </c>
      <c r="L213">
        <f t="shared" ca="1" si="50"/>
        <v>400532</v>
      </c>
      <c r="M213">
        <f t="shared" ca="1" si="51"/>
        <v>27.46347358013842</v>
      </c>
      <c r="N213">
        <f t="shared" ca="1" si="52"/>
        <v>12514.355906644165</v>
      </c>
      <c r="O213">
        <f t="shared" ca="1" si="53"/>
        <v>10027.41353999181</v>
      </c>
      <c r="P213">
        <f t="shared" ca="1" si="54"/>
        <v>57.173958635015431</v>
      </c>
      <c r="Q213">
        <f t="shared" ca="1" si="55"/>
        <v>2535.8772832133263</v>
      </c>
      <c r="R213">
        <f t="shared" ca="1" si="56"/>
        <v>14.23107267334445</v>
      </c>
      <c r="S213">
        <f t="shared" ca="1" si="57"/>
        <v>98.119501063585446</v>
      </c>
      <c r="T213">
        <f t="shared" ca="1" si="58"/>
        <v>54.926947160276839</v>
      </c>
      <c r="U213">
        <f t="shared" ca="1" si="59"/>
        <v>68.409016008708406</v>
      </c>
    </row>
    <row r="214" spans="1:21" x14ac:dyDescent="0.3">
      <c r="A214" t="s">
        <v>22</v>
      </c>
      <c r="B214">
        <v>3</v>
      </c>
      <c r="C214">
        <v>400599</v>
      </c>
      <c r="D214">
        <v>450656</v>
      </c>
      <c r="E214">
        <v>440695</v>
      </c>
      <c r="F214">
        <v>400761</v>
      </c>
      <c r="G214">
        <v>410571</v>
      </c>
      <c r="H214">
        <v>410564</v>
      </c>
      <c r="I214">
        <v>400950</v>
      </c>
      <c r="J214">
        <v>400674</v>
      </c>
      <c r="K214">
        <v>400881</v>
      </c>
      <c r="L214">
        <f t="shared" ca="1" si="50"/>
        <v>400532</v>
      </c>
      <c r="M214">
        <f t="shared" ca="1" si="51"/>
        <v>16.727752089720671</v>
      </c>
      <c r="N214">
        <f t="shared" ca="1" si="52"/>
        <v>12514.355906644165</v>
      </c>
      <c r="O214">
        <f t="shared" ca="1" si="53"/>
        <v>10027.41353999181</v>
      </c>
      <c r="P214">
        <f t="shared" ca="1" si="54"/>
        <v>57.173958635015431</v>
      </c>
      <c r="Q214">
        <f t="shared" ca="1" si="55"/>
        <v>2506.4164661000868</v>
      </c>
      <c r="R214">
        <f t="shared" ca="1" si="56"/>
        <v>2504.6687905086237</v>
      </c>
      <c r="S214">
        <f t="shared" ca="1" si="57"/>
        <v>104.36119960452598</v>
      </c>
      <c r="T214">
        <f t="shared" ca="1" si="58"/>
        <v>35.452847712542322</v>
      </c>
      <c r="U214">
        <f t="shared" ca="1" si="59"/>
        <v>87.134111631530061</v>
      </c>
    </row>
    <row r="215" spans="1:21" x14ac:dyDescent="0.3">
      <c r="A215" t="s">
        <v>22</v>
      </c>
      <c r="B215">
        <v>4</v>
      </c>
      <c r="C215">
        <v>400550</v>
      </c>
      <c r="D215">
        <v>450656</v>
      </c>
      <c r="E215">
        <v>440695</v>
      </c>
      <c r="F215">
        <v>400761</v>
      </c>
      <c r="G215">
        <v>400665</v>
      </c>
      <c r="H215">
        <v>400564</v>
      </c>
      <c r="I215">
        <v>400877</v>
      </c>
      <c r="J215">
        <v>400663</v>
      </c>
      <c r="K215">
        <v>400677</v>
      </c>
      <c r="L215">
        <f t="shared" ca="1" si="50"/>
        <v>400532</v>
      </c>
      <c r="M215">
        <f t="shared" ca="1" si="51"/>
        <v>4.4940229494771948</v>
      </c>
      <c r="N215">
        <f t="shared" ca="1" si="52"/>
        <v>12514.355906644165</v>
      </c>
      <c r="O215">
        <f t="shared" ca="1" si="53"/>
        <v>10027.41353999181</v>
      </c>
      <c r="P215">
        <f t="shared" ca="1" si="54"/>
        <v>57.173958635015431</v>
      </c>
      <c r="Q215">
        <f t="shared" ca="1" si="55"/>
        <v>33.205836237803723</v>
      </c>
      <c r="R215">
        <f t="shared" ca="1" si="56"/>
        <v>7.9893741324039027</v>
      </c>
      <c r="S215">
        <f t="shared" ca="1" si="57"/>
        <v>86.135439864979574</v>
      </c>
      <c r="T215">
        <f t="shared" ca="1" si="58"/>
        <v>32.706500354528472</v>
      </c>
      <c r="U215">
        <f t="shared" ca="1" si="59"/>
        <v>36.201851537455184</v>
      </c>
    </row>
    <row r="216" spans="1:21" x14ac:dyDescent="0.3">
      <c r="A216" t="s">
        <v>22</v>
      </c>
      <c r="B216">
        <v>5</v>
      </c>
      <c r="C216">
        <v>400589</v>
      </c>
      <c r="D216">
        <v>450656</v>
      </c>
      <c r="E216">
        <v>440695</v>
      </c>
      <c r="F216">
        <v>400761</v>
      </c>
      <c r="G216">
        <v>400653</v>
      </c>
      <c r="H216">
        <v>400583</v>
      </c>
      <c r="I216">
        <v>400870</v>
      </c>
      <c r="J216">
        <v>400829</v>
      </c>
      <c r="K216">
        <v>400832</v>
      </c>
      <c r="L216">
        <f t="shared" ca="1" si="50"/>
        <v>400532</v>
      </c>
      <c r="M216">
        <f t="shared" ca="1" si="51"/>
        <v>14.23107267334445</v>
      </c>
      <c r="N216">
        <f t="shared" ca="1" si="52"/>
        <v>12514.355906644165</v>
      </c>
      <c r="O216">
        <f t="shared" ca="1" si="53"/>
        <v>10027.41353999181</v>
      </c>
      <c r="P216">
        <f t="shared" ca="1" si="54"/>
        <v>57.173958635015431</v>
      </c>
      <c r="Q216">
        <f t="shared" ca="1" si="55"/>
        <v>30.209820938152259</v>
      </c>
      <c r="R216">
        <f t="shared" ca="1" si="56"/>
        <v>12.733065023518717</v>
      </c>
      <c r="S216">
        <f t="shared" ca="1" si="57"/>
        <v>84.387764273516225</v>
      </c>
      <c r="T216">
        <f t="shared" ca="1" si="58"/>
        <v>74.151378666373731</v>
      </c>
      <c r="U216">
        <f t="shared" ca="1" si="59"/>
        <v>74.900382491286592</v>
      </c>
    </row>
    <row r="217" spans="1:21" x14ac:dyDescent="0.3">
      <c r="A217" t="s">
        <v>22</v>
      </c>
      <c r="B217">
        <v>6</v>
      </c>
      <c r="C217">
        <v>400547</v>
      </c>
      <c r="D217">
        <v>450656</v>
      </c>
      <c r="E217">
        <v>440695</v>
      </c>
      <c r="F217">
        <v>400761</v>
      </c>
      <c r="G217">
        <v>400554</v>
      </c>
      <c r="H217">
        <v>400643</v>
      </c>
      <c r="I217">
        <v>400939</v>
      </c>
      <c r="J217">
        <v>400967</v>
      </c>
      <c r="K217">
        <v>400756</v>
      </c>
      <c r="L217">
        <f t="shared" ca="1" si="50"/>
        <v>400532</v>
      </c>
      <c r="M217">
        <f t="shared" ca="1" si="51"/>
        <v>3.7450191245643292</v>
      </c>
      <c r="N217">
        <f t="shared" ca="1" si="52"/>
        <v>12514.355906644165</v>
      </c>
      <c r="O217">
        <f t="shared" ca="1" si="53"/>
        <v>10027.41353999181</v>
      </c>
      <c r="P217">
        <f t="shared" ca="1" si="54"/>
        <v>57.173958635015431</v>
      </c>
      <c r="Q217">
        <f t="shared" ca="1" si="55"/>
        <v>5.4926947160276836</v>
      </c>
      <c r="R217">
        <f t="shared" ca="1" si="56"/>
        <v>27.713141521776034</v>
      </c>
      <c r="S217">
        <f t="shared" ca="1" si="57"/>
        <v>101.61485224651214</v>
      </c>
      <c r="T217">
        <f t="shared" ca="1" si="58"/>
        <v>108.60555461236554</v>
      </c>
      <c r="U217">
        <f t="shared" ca="1" si="59"/>
        <v>55.925618926827319</v>
      </c>
    </row>
    <row r="218" spans="1:21" x14ac:dyDescent="0.3">
      <c r="A218" t="s">
        <v>22</v>
      </c>
      <c r="B218">
        <v>7</v>
      </c>
      <c r="C218">
        <v>400570</v>
      </c>
      <c r="D218">
        <v>450656</v>
      </c>
      <c r="E218">
        <v>440695</v>
      </c>
      <c r="F218">
        <v>400761</v>
      </c>
      <c r="G218">
        <v>410612</v>
      </c>
      <c r="H218">
        <v>400590</v>
      </c>
      <c r="I218">
        <v>400964</v>
      </c>
      <c r="J218">
        <v>400794</v>
      </c>
      <c r="K218">
        <v>400751</v>
      </c>
      <c r="L218">
        <f t="shared" ca="1" si="50"/>
        <v>400532</v>
      </c>
      <c r="M218">
        <f t="shared" ca="1" si="51"/>
        <v>9.4873817822296349</v>
      </c>
      <c r="N218">
        <f t="shared" ca="1" si="52"/>
        <v>12514.355906644165</v>
      </c>
      <c r="O218">
        <f t="shared" ca="1" si="53"/>
        <v>10027.41353999181</v>
      </c>
      <c r="P218">
        <f t="shared" ca="1" si="54"/>
        <v>57.173958635015431</v>
      </c>
      <c r="Q218">
        <f t="shared" ca="1" si="55"/>
        <v>2516.6528517072297</v>
      </c>
      <c r="R218">
        <f t="shared" ca="1" si="56"/>
        <v>14.480740614982075</v>
      </c>
      <c r="S218">
        <f t="shared" ca="1" si="57"/>
        <v>107.85655078745268</v>
      </c>
      <c r="T218">
        <f t="shared" ca="1" si="58"/>
        <v>65.413000709056945</v>
      </c>
      <c r="U218">
        <f t="shared" ca="1" si="59"/>
        <v>54.677279218639207</v>
      </c>
    </row>
    <row r="219" spans="1:21" x14ac:dyDescent="0.3">
      <c r="A219" t="s">
        <v>22</v>
      </c>
      <c r="B219">
        <v>8</v>
      </c>
      <c r="C219">
        <v>400673</v>
      </c>
      <c r="D219">
        <v>450656</v>
      </c>
      <c r="E219">
        <v>440695</v>
      </c>
      <c r="F219">
        <v>400761</v>
      </c>
      <c r="G219">
        <v>400660</v>
      </c>
      <c r="H219">
        <v>400532</v>
      </c>
      <c r="I219">
        <v>400926</v>
      </c>
      <c r="J219">
        <v>400825</v>
      </c>
      <c r="K219">
        <v>400908</v>
      </c>
      <c r="L219">
        <f t="shared" ca="1" si="50"/>
        <v>400532</v>
      </c>
      <c r="M219">
        <f t="shared" ca="1" si="51"/>
        <v>35.203179770904697</v>
      </c>
      <c r="N219">
        <f t="shared" ca="1" si="52"/>
        <v>12514.355906644165</v>
      </c>
      <c r="O219">
        <f t="shared" ca="1" si="53"/>
        <v>10027.41353999181</v>
      </c>
      <c r="P219">
        <f t="shared" ca="1" si="54"/>
        <v>57.173958635015431</v>
      </c>
      <c r="Q219">
        <f t="shared" ca="1" si="55"/>
        <v>31.957496529615611</v>
      </c>
      <c r="R219">
        <f t="shared" ca="1" si="56"/>
        <v>0</v>
      </c>
      <c r="S219">
        <f t="shared" ca="1" si="57"/>
        <v>98.369169005223057</v>
      </c>
      <c r="T219">
        <f t="shared" ca="1" si="58"/>
        <v>73.152706899823229</v>
      </c>
      <c r="U219">
        <f t="shared" ca="1" si="59"/>
        <v>93.875146055745859</v>
      </c>
    </row>
    <row r="220" spans="1:21" x14ac:dyDescent="0.3">
      <c r="A220" t="s">
        <v>22</v>
      </c>
      <c r="B220">
        <v>9</v>
      </c>
      <c r="C220">
        <v>400565</v>
      </c>
      <c r="D220">
        <v>450656</v>
      </c>
      <c r="E220">
        <v>440695</v>
      </c>
      <c r="F220">
        <v>400761</v>
      </c>
      <c r="G220">
        <v>400608</v>
      </c>
      <c r="H220">
        <v>400593</v>
      </c>
      <c r="I220">
        <v>401025</v>
      </c>
      <c r="J220">
        <v>400682</v>
      </c>
      <c r="K220">
        <v>400767</v>
      </c>
      <c r="L220">
        <f t="shared" ca="1" si="50"/>
        <v>400532</v>
      </c>
      <c r="M220">
        <f t="shared" ca="1" si="51"/>
        <v>8.2390420740415244</v>
      </c>
      <c r="N220">
        <f t="shared" ca="1" si="52"/>
        <v>12514.355906644165</v>
      </c>
      <c r="O220">
        <f t="shared" ca="1" si="53"/>
        <v>10027.41353999181</v>
      </c>
      <c r="P220">
        <f t="shared" ca="1" si="54"/>
        <v>57.173958635015431</v>
      </c>
      <c r="Q220">
        <f t="shared" ca="1" si="55"/>
        <v>18.97476356445927</v>
      </c>
      <c r="R220">
        <f t="shared" ca="1" si="56"/>
        <v>15.229744439894938</v>
      </c>
      <c r="S220">
        <f t="shared" ca="1" si="57"/>
        <v>123.08629522734762</v>
      </c>
      <c r="T220">
        <f t="shared" ca="1" si="58"/>
        <v>37.450191245643296</v>
      </c>
      <c r="U220">
        <f t="shared" ca="1" si="59"/>
        <v>58.671966284841162</v>
      </c>
    </row>
    <row r="221" spans="1:21" x14ac:dyDescent="0.3">
      <c r="A221" t="s">
        <v>22</v>
      </c>
      <c r="B221">
        <v>10</v>
      </c>
      <c r="C221">
        <v>400551</v>
      </c>
      <c r="D221">
        <v>450656</v>
      </c>
      <c r="E221">
        <v>440695</v>
      </c>
      <c r="F221">
        <v>400761</v>
      </c>
      <c r="G221">
        <v>410652</v>
      </c>
      <c r="H221">
        <v>400656</v>
      </c>
      <c r="I221">
        <v>400934</v>
      </c>
      <c r="J221">
        <v>400769</v>
      </c>
      <c r="K221">
        <v>400741</v>
      </c>
      <c r="L221">
        <f t="shared" ca="1" si="50"/>
        <v>400532</v>
      </c>
      <c r="M221">
        <f t="shared" ca="1" si="51"/>
        <v>4.7436908911148175</v>
      </c>
      <c r="N221">
        <f t="shared" ca="1" si="52"/>
        <v>12514.355906644165</v>
      </c>
      <c r="O221">
        <f t="shared" ca="1" si="53"/>
        <v>10027.41353999181</v>
      </c>
      <c r="P221">
        <f t="shared" ca="1" si="54"/>
        <v>57.173958635015431</v>
      </c>
      <c r="Q221">
        <f t="shared" ca="1" si="55"/>
        <v>2526.6395693727341</v>
      </c>
      <c r="R221">
        <f t="shared" ca="1" si="56"/>
        <v>30.958824763065124</v>
      </c>
      <c r="S221">
        <f t="shared" ca="1" si="57"/>
        <v>100.36651253832402</v>
      </c>
      <c r="T221">
        <f t="shared" ca="1" si="58"/>
        <v>59.171302168116405</v>
      </c>
      <c r="U221">
        <f t="shared" ca="1" si="59"/>
        <v>52.180599802262989</v>
      </c>
    </row>
    <row r="222" spans="1:21" x14ac:dyDescent="0.3">
      <c r="A222" t="s">
        <v>69</v>
      </c>
      <c r="B222">
        <v>1</v>
      </c>
      <c r="C222">
        <v>401491</v>
      </c>
      <c r="D222">
        <v>481829</v>
      </c>
      <c r="E222">
        <v>461754</v>
      </c>
      <c r="F222">
        <v>411549</v>
      </c>
      <c r="G222">
        <v>411592</v>
      </c>
      <c r="H222">
        <v>421528</v>
      </c>
      <c r="I222">
        <v>411703</v>
      </c>
      <c r="J222">
        <v>401462</v>
      </c>
      <c r="K222">
        <v>401476</v>
      </c>
      <c r="L222">
        <f t="shared" ca="1" si="50"/>
        <v>401388</v>
      </c>
      <c r="M222">
        <f t="shared" ca="1" si="51"/>
        <v>25.660956481010892</v>
      </c>
      <c r="N222">
        <f t="shared" ca="1" si="52"/>
        <v>20040.708740669874</v>
      </c>
      <c r="O222">
        <f t="shared" ca="1" si="53"/>
        <v>15039.313581870909</v>
      </c>
      <c r="P222">
        <f t="shared" ca="1" si="54"/>
        <v>2531.4658136267153</v>
      </c>
      <c r="Q222">
        <f t="shared" ca="1" si="55"/>
        <v>2542.1786401187874</v>
      </c>
      <c r="R222">
        <f t="shared" ca="1" si="56"/>
        <v>5017.5889662869849</v>
      </c>
      <c r="S222">
        <f t="shared" ca="1" si="57"/>
        <v>2569.8326805983238</v>
      </c>
      <c r="T222">
        <f t="shared" ca="1" si="58"/>
        <v>18.436026986357341</v>
      </c>
      <c r="U222">
        <f t="shared" ca="1" si="59"/>
        <v>21.923923983776298</v>
      </c>
    </row>
    <row r="223" spans="1:21" x14ac:dyDescent="0.3">
      <c r="A223" t="s">
        <v>69</v>
      </c>
      <c r="B223">
        <v>2</v>
      </c>
      <c r="C223">
        <v>401490</v>
      </c>
      <c r="D223">
        <v>481829</v>
      </c>
      <c r="E223">
        <v>461754</v>
      </c>
      <c r="F223">
        <v>411549</v>
      </c>
      <c r="G223">
        <v>411421</v>
      </c>
      <c r="H223">
        <v>401554</v>
      </c>
      <c r="I223">
        <v>411672</v>
      </c>
      <c r="J223">
        <v>401418</v>
      </c>
      <c r="K223">
        <v>401528</v>
      </c>
      <c r="L223">
        <f t="shared" ca="1" si="50"/>
        <v>401388</v>
      </c>
      <c r="M223">
        <f t="shared" ca="1" si="51"/>
        <v>25.411820981195255</v>
      </c>
      <c r="N223">
        <f t="shared" ca="1" si="52"/>
        <v>20040.708740669874</v>
      </c>
      <c r="O223">
        <f t="shared" ca="1" si="53"/>
        <v>15039.313581870909</v>
      </c>
      <c r="P223">
        <f t="shared" ca="1" si="54"/>
        <v>2531.4658136267153</v>
      </c>
      <c r="Q223">
        <f t="shared" ca="1" si="55"/>
        <v>2499.5764696503129</v>
      </c>
      <c r="R223">
        <f t="shared" ca="1" si="56"/>
        <v>41.3564929693962</v>
      </c>
      <c r="S223">
        <f t="shared" ca="1" si="57"/>
        <v>2562.109480104039</v>
      </c>
      <c r="T223">
        <f t="shared" ca="1" si="58"/>
        <v>7.4740649944691917</v>
      </c>
      <c r="U223">
        <f t="shared" ca="1" si="59"/>
        <v>34.878969974189566</v>
      </c>
    </row>
    <row r="224" spans="1:21" x14ac:dyDescent="0.3">
      <c r="A224" t="s">
        <v>23</v>
      </c>
      <c r="B224">
        <v>3</v>
      </c>
      <c r="C224">
        <v>401430</v>
      </c>
      <c r="D224">
        <v>481829</v>
      </c>
      <c r="E224">
        <v>461754</v>
      </c>
      <c r="F224">
        <v>411549</v>
      </c>
      <c r="G224">
        <v>411644</v>
      </c>
      <c r="H224">
        <v>411407</v>
      </c>
      <c r="I224">
        <v>411636</v>
      </c>
      <c r="J224">
        <v>401467</v>
      </c>
      <c r="K224">
        <v>401414</v>
      </c>
      <c r="L224">
        <f t="shared" ca="1" si="50"/>
        <v>401388</v>
      </c>
      <c r="M224">
        <f t="shared" ca="1" si="51"/>
        <v>10.463690992256868</v>
      </c>
      <c r="N224">
        <f t="shared" ca="1" si="52"/>
        <v>20040.708740669874</v>
      </c>
      <c r="O224">
        <f t="shared" ca="1" si="53"/>
        <v>15039.313581870909</v>
      </c>
      <c r="P224">
        <f t="shared" ca="1" si="54"/>
        <v>2531.4658136267153</v>
      </c>
      <c r="Q224">
        <f t="shared" ca="1" si="55"/>
        <v>2555.1336861092013</v>
      </c>
      <c r="R224">
        <f t="shared" ca="1" si="56"/>
        <v>2496.0885726528941</v>
      </c>
      <c r="S224">
        <f t="shared" ca="1" si="57"/>
        <v>2553.1406021106759</v>
      </c>
      <c r="T224">
        <f t="shared" ca="1" si="58"/>
        <v>19.681704485435535</v>
      </c>
      <c r="U224">
        <f t="shared" ca="1" si="59"/>
        <v>6.4775229952066331</v>
      </c>
    </row>
    <row r="225" spans="1:21" x14ac:dyDescent="0.3">
      <c r="A225" t="s">
        <v>23</v>
      </c>
      <c r="B225">
        <v>4</v>
      </c>
      <c r="C225">
        <v>401454</v>
      </c>
      <c r="D225">
        <v>481829</v>
      </c>
      <c r="E225">
        <v>461754</v>
      </c>
      <c r="F225">
        <v>411549</v>
      </c>
      <c r="G225">
        <v>411607</v>
      </c>
      <c r="H225">
        <v>421535</v>
      </c>
      <c r="I225">
        <v>411649</v>
      </c>
      <c r="J225">
        <v>401595</v>
      </c>
      <c r="K225">
        <v>401466</v>
      </c>
      <c r="L225">
        <f t="shared" ca="1" si="50"/>
        <v>401388</v>
      </c>
      <c r="M225">
        <f t="shared" ca="1" si="51"/>
        <v>16.442942987832222</v>
      </c>
      <c r="N225">
        <f t="shared" ca="1" si="52"/>
        <v>20040.708740669874</v>
      </c>
      <c r="O225">
        <f t="shared" ca="1" si="53"/>
        <v>15039.313581870909</v>
      </c>
      <c r="P225">
        <f t="shared" ca="1" si="54"/>
        <v>2531.4658136267153</v>
      </c>
      <c r="Q225">
        <f t="shared" ca="1" si="55"/>
        <v>2545.9156726160222</v>
      </c>
      <c r="R225">
        <f t="shared" ca="1" si="56"/>
        <v>5019.3329147856939</v>
      </c>
      <c r="S225">
        <f t="shared" ca="1" si="57"/>
        <v>2556.3793636082792</v>
      </c>
      <c r="T225">
        <f t="shared" ca="1" si="58"/>
        <v>51.571048461837421</v>
      </c>
      <c r="U225">
        <f t="shared" ca="1" si="59"/>
        <v>19.432568985619898</v>
      </c>
    </row>
    <row r="226" spans="1:21" x14ac:dyDescent="0.3">
      <c r="A226" t="s">
        <v>23</v>
      </c>
      <c r="B226">
        <v>5</v>
      </c>
      <c r="C226">
        <v>401492</v>
      </c>
      <c r="D226">
        <v>481829</v>
      </c>
      <c r="E226">
        <v>461754</v>
      </c>
      <c r="F226">
        <v>411549</v>
      </c>
      <c r="G226">
        <v>401558</v>
      </c>
      <c r="H226">
        <v>411530</v>
      </c>
      <c r="I226">
        <v>411644</v>
      </c>
      <c r="J226">
        <v>401469</v>
      </c>
      <c r="K226">
        <v>401471</v>
      </c>
      <c r="L226">
        <f t="shared" ca="1" si="50"/>
        <v>401388</v>
      </c>
      <c r="M226">
        <f t="shared" ca="1" si="51"/>
        <v>25.910091980826532</v>
      </c>
      <c r="N226">
        <f t="shared" ca="1" si="52"/>
        <v>20040.708740669874</v>
      </c>
      <c r="O226">
        <f t="shared" ca="1" si="53"/>
        <v>15039.313581870909</v>
      </c>
      <c r="P226">
        <f t="shared" ca="1" si="54"/>
        <v>2531.4658136267153</v>
      </c>
      <c r="Q226">
        <f t="shared" ca="1" si="55"/>
        <v>42.353034968658754</v>
      </c>
      <c r="R226">
        <f t="shared" ca="1" si="56"/>
        <v>2526.7322391302177</v>
      </c>
      <c r="S226">
        <f t="shared" ca="1" si="57"/>
        <v>2555.1336861092013</v>
      </c>
      <c r="T226">
        <f t="shared" ca="1" si="58"/>
        <v>20.179975485066816</v>
      </c>
      <c r="U226">
        <f t="shared" ca="1" si="59"/>
        <v>20.6782464846981</v>
      </c>
    </row>
    <row r="227" spans="1:21" x14ac:dyDescent="0.3">
      <c r="A227" t="s">
        <v>23</v>
      </c>
      <c r="B227">
        <v>6</v>
      </c>
      <c r="C227">
        <v>401497</v>
      </c>
      <c r="D227">
        <v>481829</v>
      </c>
      <c r="E227">
        <v>461754</v>
      </c>
      <c r="F227">
        <v>411549</v>
      </c>
      <c r="G227">
        <v>411504</v>
      </c>
      <c r="H227">
        <v>411542</v>
      </c>
      <c r="I227">
        <v>411680</v>
      </c>
      <c r="J227">
        <v>401456</v>
      </c>
      <c r="K227">
        <v>401536</v>
      </c>
      <c r="L227">
        <f t="shared" ca="1" si="50"/>
        <v>401388</v>
      </c>
      <c r="M227">
        <f t="shared" ca="1" si="51"/>
        <v>27.15576947990473</v>
      </c>
      <c r="N227">
        <f t="shared" ca="1" si="52"/>
        <v>20040.708740669874</v>
      </c>
      <c r="O227">
        <f t="shared" ca="1" si="53"/>
        <v>15039.313581870909</v>
      </c>
      <c r="P227">
        <f t="shared" ca="1" si="54"/>
        <v>2531.4658136267153</v>
      </c>
      <c r="Q227">
        <f t="shared" ca="1" si="55"/>
        <v>2520.2547161350117</v>
      </c>
      <c r="R227">
        <f t="shared" ca="1" si="56"/>
        <v>2529.7218651280054</v>
      </c>
      <c r="S227">
        <f t="shared" ca="1" si="57"/>
        <v>2564.102564102564</v>
      </c>
      <c r="T227">
        <f t="shared" ca="1" si="58"/>
        <v>16.941213987463499</v>
      </c>
      <c r="U227">
        <f t="shared" ca="1" si="59"/>
        <v>36.872053972714681</v>
      </c>
    </row>
    <row r="228" spans="1:21" x14ac:dyDescent="0.3">
      <c r="A228" t="s">
        <v>23</v>
      </c>
      <c r="B228">
        <v>7</v>
      </c>
      <c r="C228">
        <v>401461</v>
      </c>
      <c r="D228">
        <v>481829</v>
      </c>
      <c r="E228">
        <v>461754</v>
      </c>
      <c r="F228">
        <v>411549</v>
      </c>
      <c r="G228">
        <v>411464</v>
      </c>
      <c r="H228">
        <v>411385</v>
      </c>
      <c r="I228">
        <v>411685</v>
      </c>
      <c r="J228">
        <v>401388</v>
      </c>
      <c r="K228">
        <v>401470</v>
      </c>
      <c r="L228">
        <f t="shared" ca="1" si="50"/>
        <v>401388</v>
      </c>
      <c r="M228">
        <f t="shared" ca="1" si="51"/>
        <v>18.1868914865417</v>
      </c>
      <c r="N228">
        <f t="shared" ca="1" si="52"/>
        <v>20040.708740669874</v>
      </c>
      <c r="O228">
        <f t="shared" ca="1" si="53"/>
        <v>15039.313581870909</v>
      </c>
      <c r="P228">
        <f t="shared" ca="1" si="54"/>
        <v>2531.4658136267153</v>
      </c>
      <c r="Q228">
        <f t="shared" ca="1" si="55"/>
        <v>2510.2892961423859</v>
      </c>
      <c r="R228">
        <f t="shared" ca="1" si="56"/>
        <v>2490.6075916569503</v>
      </c>
      <c r="S228">
        <f t="shared" ca="1" si="57"/>
        <v>2565.3482416016423</v>
      </c>
      <c r="T228">
        <f t="shared" ca="1" si="58"/>
        <v>0</v>
      </c>
      <c r="U228">
        <f t="shared" ca="1" si="59"/>
        <v>20.42911098488246</v>
      </c>
    </row>
    <row r="229" spans="1:21" x14ac:dyDescent="0.3">
      <c r="A229" t="s">
        <v>23</v>
      </c>
      <c r="B229">
        <v>8</v>
      </c>
      <c r="C229">
        <v>401516</v>
      </c>
      <c r="D229">
        <v>481829</v>
      </c>
      <c r="E229">
        <v>461754</v>
      </c>
      <c r="F229">
        <v>411549</v>
      </c>
      <c r="G229">
        <v>411534</v>
      </c>
      <c r="H229">
        <v>421450</v>
      </c>
      <c r="I229">
        <v>411666</v>
      </c>
      <c r="J229">
        <v>401448</v>
      </c>
      <c r="K229">
        <v>401543</v>
      </c>
      <c r="L229">
        <f t="shared" ca="1" si="50"/>
        <v>401388</v>
      </c>
      <c r="M229">
        <f t="shared" ca="1" si="51"/>
        <v>31.889343976401889</v>
      </c>
      <c r="N229">
        <f t="shared" ca="1" si="52"/>
        <v>20040.708740669874</v>
      </c>
      <c r="O229">
        <f t="shared" ca="1" si="53"/>
        <v>15039.313581870909</v>
      </c>
      <c r="P229">
        <f t="shared" ca="1" si="54"/>
        <v>2531.4658136267153</v>
      </c>
      <c r="Q229">
        <f t="shared" ca="1" si="55"/>
        <v>2527.7287811294809</v>
      </c>
      <c r="R229">
        <f t="shared" ca="1" si="56"/>
        <v>4998.1563973013644</v>
      </c>
      <c r="S229">
        <f t="shared" ca="1" si="57"/>
        <v>2560.6146671051451</v>
      </c>
      <c r="T229">
        <f t="shared" ca="1" si="58"/>
        <v>14.948129988938383</v>
      </c>
      <c r="U229">
        <f t="shared" ca="1" si="59"/>
        <v>38.61600247142416</v>
      </c>
    </row>
    <row r="230" spans="1:21" x14ac:dyDescent="0.3">
      <c r="A230" t="s">
        <v>23</v>
      </c>
      <c r="B230">
        <v>9</v>
      </c>
      <c r="C230">
        <v>401453</v>
      </c>
      <c r="D230">
        <v>481829</v>
      </c>
      <c r="E230">
        <v>461754</v>
      </c>
      <c r="F230">
        <v>411549</v>
      </c>
      <c r="G230">
        <v>411534</v>
      </c>
      <c r="H230">
        <v>421379</v>
      </c>
      <c r="I230">
        <v>411632</v>
      </c>
      <c r="J230">
        <v>401442</v>
      </c>
      <c r="K230">
        <v>401453</v>
      </c>
      <c r="L230">
        <f t="shared" ca="1" si="50"/>
        <v>401388</v>
      </c>
      <c r="M230">
        <f t="shared" ca="1" si="51"/>
        <v>16.193807488016581</v>
      </c>
      <c r="N230">
        <f t="shared" ca="1" si="52"/>
        <v>20040.708740669874</v>
      </c>
      <c r="O230">
        <f t="shared" ca="1" si="53"/>
        <v>15039.313581870909</v>
      </c>
      <c r="P230">
        <f t="shared" ca="1" si="54"/>
        <v>2531.4658136267153</v>
      </c>
      <c r="Q230">
        <f t="shared" ca="1" si="55"/>
        <v>2527.7287811294809</v>
      </c>
      <c r="R230">
        <f t="shared" ca="1" si="56"/>
        <v>4980.4677768144538</v>
      </c>
      <c r="S230">
        <f t="shared" ca="1" si="57"/>
        <v>2552.1440601114132</v>
      </c>
      <c r="T230">
        <f t="shared" ca="1" si="58"/>
        <v>13.453316990044547</v>
      </c>
      <c r="U230">
        <f t="shared" ca="1" si="59"/>
        <v>16.193807488016581</v>
      </c>
    </row>
    <row r="231" spans="1:21" x14ac:dyDescent="0.3">
      <c r="A231" t="s">
        <v>23</v>
      </c>
      <c r="B231">
        <v>10</v>
      </c>
      <c r="C231">
        <v>401471</v>
      </c>
      <c r="D231">
        <v>481829</v>
      </c>
      <c r="E231">
        <v>461754</v>
      </c>
      <c r="F231">
        <v>411549</v>
      </c>
      <c r="G231">
        <v>411563</v>
      </c>
      <c r="H231">
        <v>411476</v>
      </c>
      <c r="I231">
        <v>411699</v>
      </c>
      <c r="J231">
        <v>401622</v>
      </c>
      <c r="K231">
        <v>401525</v>
      </c>
      <c r="L231">
        <f t="shared" ca="1" si="50"/>
        <v>401388</v>
      </c>
      <c r="M231">
        <f t="shared" ca="1" si="51"/>
        <v>20.6782464846981</v>
      </c>
      <c r="N231">
        <f t="shared" ca="1" si="52"/>
        <v>20040.708740669874</v>
      </c>
      <c r="O231">
        <f t="shared" ca="1" si="53"/>
        <v>15039.313581870909</v>
      </c>
      <c r="P231">
        <f t="shared" ca="1" si="54"/>
        <v>2531.4658136267153</v>
      </c>
      <c r="Q231">
        <f t="shared" ca="1" si="55"/>
        <v>2534.9537106241346</v>
      </c>
      <c r="R231">
        <f t="shared" ca="1" si="56"/>
        <v>2513.2789221401736</v>
      </c>
      <c r="S231">
        <f t="shared" ca="1" si="57"/>
        <v>2568.8361385990611</v>
      </c>
      <c r="T231">
        <f t="shared" ca="1" si="58"/>
        <v>58.297706956859699</v>
      </c>
      <c r="U231">
        <f t="shared" ca="1" si="59"/>
        <v>34.131563474742634</v>
      </c>
    </row>
    <row r="232" spans="1:21" x14ac:dyDescent="0.3">
      <c r="A232" t="s">
        <v>70</v>
      </c>
      <c r="B232">
        <v>1</v>
      </c>
      <c r="C232">
        <v>421269</v>
      </c>
      <c r="D232">
        <v>501730</v>
      </c>
      <c r="E232">
        <v>461577</v>
      </c>
      <c r="F232">
        <v>431767</v>
      </c>
      <c r="G232">
        <v>431333</v>
      </c>
      <c r="H232">
        <v>421553</v>
      </c>
      <c r="I232">
        <v>421837</v>
      </c>
      <c r="J232">
        <v>421346</v>
      </c>
      <c r="K232">
        <v>421377</v>
      </c>
      <c r="L232">
        <f t="shared" ca="1" si="50"/>
        <v>421225</v>
      </c>
      <c r="M232">
        <f t="shared" ca="1" si="51"/>
        <v>10.445723781826816</v>
      </c>
      <c r="N232">
        <f t="shared" ca="1" si="52"/>
        <v>19112.113478544721</v>
      </c>
      <c r="O232">
        <f t="shared" ca="1" si="53"/>
        <v>9579.6783191880841</v>
      </c>
      <c r="P232">
        <f t="shared" ca="1" si="54"/>
        <v>2502.7004570004151</v>
      </c>
      <c r="Q232">
        <f t="shared" ca="1" si="55"/>
        <v>2399.6676360614874</v>
      </c>
      <c r="R232">
        <f t="shared" ca="1" si="56"/>
        <v>77.868122737254438</v>
      </c>
      <c r="S232">
        <f t="shared" ca="1" si="57"/>
        <v>145.29052169268206</v>
      </c>
      <c r="T232">
        <f t="shared" ca="1" si="58"/>
        <v>28.725740400023742</v>
      </c>
      <c r="U232">
        <f t="shared" ca="1" si="59"/>
        <v>36.085227609947182</v>
      </c>
    </row>
    <row r="233" spans="1:21" x14ac:dyDescent="0.3">
      <c r="A233" t="s">
        <v>70</v>
      </c>
      <c r="B233">
        <v>2</v>
      </c>
      <c r="C233">
        <v>421267</v>
      </c>
      <c r="D233">
        <v>501730</v>
      </c>
      <c r="E233">
        <v>461577</v>
      </c>
      <c r="F233">
        <v>431767</v>
      </c>
      <c r="G233">
        <v>431711</v>
      </c>
      <c r="H233">
        <v>421454</v>
      </c>
      <c r="I233">
        <v>421969</v>
      </c>
      <c r="J233">
        <v>421420</v>
      </c>
      <c r="K233">
        <v>421333</v>
      </c>
      <c r="L233">
        <f t="shared" ca="1" si="50"/>
        <v>421225</v>
      </c>
      <c r="M233">
        <f t="shared" ca="1" si="51"/>
        <v>9.9709181553801418</v>
      </c>
      <c r="N233">
        <f t="shared" ca="1" si="52"/>
        <v>19112.113478544721</v>
      </c>
      <c r="O233">
        <f t="shared" ca="1" si="53"/>
        <v>9579.6783191880841</v>
      </c>
      <c r="P233">
        <f t="shared" ca="1" si="54"/>
        <v>2502.7004570004151</v>
      </c>
      <c r="Q233">
        <f t="shared" ca="1" si="55"/>
        <v>2489.4058994599091</v>
      </c>
      <c r="R233">
        <f t="shared" ca="1" si="56"/>
        <v>54.3652442281441</v>
      </c>
      <c r="S233">
        <f t="shared" ca="1" si="57"/>
        <v>176.6276930381625</v>
      </c>
      <c r="T233">
        <f t="shared" ca="1" si="58"/>
        <v>46.293548578550656</v>
      </c>
      <c r="U233">
        <f t="shared" ca="1" si="59"/>
        <v>25.639503828120365</v>
      </c>
    </row>
    <row r="234" spans="1:21" x14ac:dyDescent="0.3">
      <c r="A234" t="s">
        <v>24</v>
      </c>
      <c r="B234">
        <v>3</v>
      </c>
      <c r="C234">
        <v>421412</v>
      </c>
      <c r="D234">
        <v>501730</v>
      </c>
      <c r="E234">
        <v>461577</v>
      </c>
      <c r="F234">
        <v>431767</v>
      </c>
      <c r="G234">
        <v>421537</v>
      </c>
      <c r="H234">
        <v>421459</v>
      </c>
      <c r="I234">
        <v>421967</v>
      </c>
      <c r="J234">
        <v>421318</v>
      </c>
      <c r="K234">
        <v>421473</v>
      </c>
      <c r="L234">
        <f t="shared" ca="1" si="50"/>
        <v>421225</v>
      </c>
      <c r="M234">
        <f t="shared" ca="1" si="51"/>
        <v>44.394326072763967</v>
      </c>
      <c r="N234">
        <f t="shared" ca="1" si="52"/>
        <v>19112.113478544721</v>
      </c>
      <c r="O234">
        <f t="shared" ca="1" si="53"/>
        <v>9579.6783191880841</v>
      </c>
      <c r="P234">
        <f t="shared" ca="1" si="54"/>
        <v>2502.7004570004151</v>
      </c>
      <c r="Q234">
        <f t="shared" ca="1" si="55"/>
        <v>74.069677725681046</v>
      </c>
      <c r="R234">
        <f t="shared" ca="1" si="56"/>
        <v>55.552258294260781</v>
      </c>
      <c r="S234">
        <f t="shared" ca="1" si="57"/>
        <v>176.15288741171582</v>
      </c>
      <c r="T234">
        <f t="shared" ca="1" si="58"/>
        <v>22.078461629770313</v>
      </c>
      <c r="U234">
        <f t="shared" ca="1" si="59"/>
        <v>58.875897679387506</v>
      </c>
    </row>
    <row r="235" spans="1:21" x14ac:dyDescent="0.3">
      <c r="A235" t="s">
        <v>24</v>
      </c>
      <c r="B235">
        <v>4</v>
      </c>
      <c r="C235">
        <v>421358</v>
      </c>
      <c r="D235">
        <v>501730</v>
      </c>
      <c r="E235">
        <v>461577</v>
      </c>
      <c r="F235">
        <v>431767</v>
      </c>
      <c r="G235">
        <v>431482</v>
      </c>
      <c r="H235">
        <v>431376</v>
      </c>
      <c r="I235">
        <v>421822</v>
      </c>
      <c r="J235">
        <v>421271</v>
      </c>
      <c r="K235">
        <v>421404</v>
      </c>
      <c r="L235">
        <f t="shared" ca="1" si="50"/>
        <v>421225</v>
      </c>
      <c r="M235">
        <f t="shared" ca="1" si="51"/>
        <v>31.574574158703779</v>
      </c>
      <c r="N235">
        <f t="shared" ca="1" si="52"/>
        <v>19112.113478544721</v>
      </c>
      <c r="O235">
        <f t="shared" ca="1" si="53"/>
        <v>9579.6783191880841</v>
      </c>
      <c r="P235">
        <f t="shared" ca="1" si="54"/>
        <v>2502.7004570004151</v>
      </c>
      <c r="Q235">
        <f t="shared" ca="1" si="55"/>
        <v>2435.040655231764</v>
      </c>
      <c r="R235">
        <f t="shared" ca="1" si="56"/>
        <v>2409.8759570300908</v>
      </c>
      <c r="S235">
        <f t="shared" ca="1" si="57"/>
        <v>141.729479494332</v>
      </c>
      <c r="T235">
        <f t="shared" ca="1" si="58"/>
        <v>10.920529408273488</v>
      </c>
      <c r="U235">
        <f t="shared" ca="1" si="59"/>
        <v>42.495103566977271</v>
      </c>
    </row>
    <row r="236" spans="1:21" x14ac:dyDescent="0.3">
      <c r="A236" t="s">
        <v>24</v>
      </c>
      <c r="B236">
        <v>5</v>
      </c>
      <c r="C236">
        <v>421225</v>
      </c>
      <c r="D236">
        <v>501730</v>
      </c>
      <c r="E236">
        <v>461577</v>
      </c>
      <c r="F236">
        <v>431767</v>
      </c>
      <c r="G236">
        <v>421452</v>
      </c>
      <c r="H236">
        <v>431366</v>
      </c>
      <c r="I236">
        <v>421840</v>
      </c>
      <c r="J236">
        <v>421307</v>
      </c>
      <c r="K236">
        <v>421308</v>
      </c>
      <c r="L236">
        <f t="shared" ca="1" si="50"/>
        <v>421225</v>
      </c>
      <c r="M236">
        <f t="shared" ca="1" si="51"/>
        <v>0</v>
      </c>
      <c r="N236">
        <f t="shared" ca="1" si="52"/>
        <v>19112.113478544721</v>
      </c>
      <c r="O236">
        <f t="shared" ca="1" si="53"/>
        <v>9579.6783191880841</v>
      </c>
      <c r="P236">
        <f t="shared" ca="1" si="54"/>
        <v>2502.7004570004151</v>
      </c>
      <c r="Q236">
        <f t="shared" ca="1" si="55"/>
        <v>53.890438601697433</v>
      </c>
      <c r="R236">
        <f t="shared" ca="1" si="56"/>
        <v>2407.5019288978574</v>
      </c>
      <c r="S236">
        <f t="shared" ca="1" si="57"/>
        <v>146.00273013235207</v>
      </c>
      <c r="T236">
        <f t="shared" ca="1" si="58"/>
        <v>19.46703068431361</v>
      </c>
      <c r="U236">
        <f t="shared" ca="1" si="59"/>
        <v>19.704433497536947</v>
      </c>
    </row>
    <row r="237" spans="1:21" x14ac:dyDescent="0.3">
      <c r="A237" t="s">
        <v>24</v>
      </c>
      <c r="B237">
        <v>6</v>
      </c>
      <c r="C237">
        <v>421273</v>
      </c>
      <c r="D237">
        <v>501730</v>
      </c>
      <c r="E237">
        <v>461577</v>
      </c>
      <c r="F237">
        <v>431767</v>
      </c>
      <c r="G237">
        <v>431443</v>
      </c>
      <c r="H237">
        <v>431506</v>
      </c>
      <c r="I237">
        <v>421774</v>
      </c>
      <c r="J237">
        <v>421348</v>
      </c>
      <c r="K237">
        <v>421530</v>
      </c>
      <c r="L237">
        <f t="shared" ca="1" si="50"/>
        <v>421225</v>
      </c>
      <c r="M237">
        <f t="shared" ca="1" si="51"/>
        <v>11.395335034720162</v>
      </c>
      <c r="N237">
        <f t="shared" ca="1" si="52"/>
        <v>19112.113478544721</v>
      </c>
      <c r="O237">
        <f t="shared" ca="1" si="53"/>
        <v>9579.6783191880841</v>
      </c>
      <c r="P237">
        <f t="shared" ca="1" si="54"/>
        <v>2502.7004570004151</v>
      </c>
      <c r="Q237">
        <f t="shared" ca="1" si="55"/>
        <v>2425.7819455160547</v>
      </c>
      <c r="R237">
        <f t="shared" ca="1" si="56"/>
        <v>2440.7383227491246</v>
      </c>
      <c r="S237">
        <f t="shared" ca="1" si="57"/>
        <v>130.33414445961185</v>
      </c>
      <c r="T237">
        <f t="shared" ca="1" si="58"/>
        <v>29.200546026470413</v>
      </c>
      <c r="U237">
        <f t="shared" ca="1" si="59"/>
        <v>72.407858033117691</v>
      </c>
    </row>
    <row r="238" spans="1:21" x14ac:dyDescent="0.3">
      <c r="A238" t="s">
        <v>24</v>
      </c>
      <c r="B238">
        <v>7</v>
      </c>
      <c r="C238">
        <v>421379</v>
      </c>
      <c r="D238">
        <v>501730</v>
      </c>
      <c r="E238">
        <v>461577</v>
      </c>
      <c r="F238">
        <v>431767</v>
      </c>
      <c r="G238">
        <v>431334</v>
      </c>
      <c r="H238">
        <v>421573</v>
      </c>
      <c r="I238">
        <v>421967</v>
      </c>
      <c r="J238">
        <v>421372</v>
      </c>
      <c r="K238">
        <v>421488</v>
      </c>
      <c r="L238">
        <f t="shared" ca="1" si="50"/>
        <v>421225</v>
      </c>
      <c r="M238">
        <f t="shared" ca="1" si="51"/>
        <v>36.560033236393849</v>
      </c>
      <c r="N238">
        <f t="shared" ca="1" si="52"/>
        <v>19112.113478544721</v>
      </c>
      <c r="O238">
        <f t="shared" ca="1" si="53"/>
        <v>9579.6783191880841</v>
      </c>
      <c r="P238">
        <f t="shared" ca="1" si="54"/>
        <v>2502.7004570004151</v>
      </c>
      <c r="Q238">
        <f t="shared" ca="1" si="55"/>
        <v>2399.905038874711</v>
      </c>
      <c r="R238">
        <f t="shared" ca="1" si="56"/>
        <v>82.616179001721179</v>
      </c>
      <c r="S238">
        <f t="shared" ca="1" si="57"/>
        <v>176.15288741171582</v>
      </c>
      <c r="T238">
        <f t="shared" ca="1" si="58"/>
        <v>34.898213543830494</v>
      </c>
      <c r="U238">
        <f t="shared" ca="1" si="59"/>
        <v>62.436939877737551</v>
      </c>
    </row>
    <row r="239" spans="1:21" x14ac:dyDescent="0.3">
      <c r="A239" t="s">
        <v>24</v>
      </c>
      <c r="B239">
        <v>8</v>
      </c>
      <c r="C239">
        <v>421351</v>
      </c>
      <c r="D239">
        <v>501730</v>
      </c>
      <c r="E239">
        <v>461577</v>
      </c>
      <c r="F239">
        <v>431767</v>
      </c>
      <c r="G239">
        <v>431516</v>
      </c>
      <c r="H239">
        <v>431444</v>
      </c>
      <c r="I239">
        <v>421883</v>
      </c>
      <c r="J239">
        <v>421502</v>
      </c>
      <c r="K239">
        <v>421447</v>
      </c>
      <c r="L239">
        <f t="shared" ca="1" si="50"/>
        <v>421225</v>
      </c>
      <c r="M239">
        <f t="shared" ca="1" si="51"/>
        <v>29.912754466140424</v>
      </c>
      <c r="N239">
        <f t="shared" ca="1" si="52"/>
        <v>19112.113478544721</v>
      </c>
      <c r="O239">
        <f t="shared" ca="1" si="53"/>
        <v>9579.6783191880841</v>
      </c>
      <c r="P239">
        <f t="shared" ca="1" si="54"/>
        <v>2502.7004570004151</v>
      </c>
      <c r="Q239">
        <f t="shared" ca="1" si="55"/>
        <v>2443.112350881358</v>
      </c>
      <c r="R239">
        <f t="shared" ca="1" si="56"/>
        <v>2426.0193483292774</v>
      </c>
      <c r="S239">
        <f t="shared" ca="1" si="57"/>
        <v>156.21105110095553</v>
      </c>
      <c r="T239">
        <f t="shared" ca="1" si="58"/>
        <v>65.760579262864255</v>
      </c>
      <c r="U239">
        <f t="shared" ca="1" si="59"/>
        <v>52.703424535580751</v>
      </c>
    </row>
    <row r="240" spans="1:21" x14ac:dyDescent="0.3">
      <c r="A240" t="s">
        <v>24</v>
      </c>
      <c r="B240">
        <v>9</v>
      </c>
      <c r="C240">
        <v>421369</v>
      </c>
      <c r="D240">
        <v>501730</v>
      </c>
      <c r="E240">
        <v>461577</v>
      </c>
      <c r="F240">
        <v>431767</v>
      </c>
      <c r="G240">
        <v>431329</v>
      </c>
      <c r="H240">
        <v>431415</v>
      </c>
      <c r="I240">
        <v>421805</v>
      </c>
      <c r="J240">
        <v>421438</v>
      </c>
      <c r="K240">
        <v>421474</v>
      </c>
      <c r="L240">
        <f t="shared" ca="1" si="50"/>
        <v>421225</v>
      </c>
      <c r="M240">
        <f t="shared" ca="1" si="51"/>
        <v>34.186005104160486</v>
      </c>
      <c r="N240">
        <f t="shared" ca="1" si="52"/>
        <v>19112.113478544721</v>
      </c>
      <c r="O240">
        <f t="shared" ca="1" si="53"/>
        <v>9579.6783191880841</v>
      </c>
      <c r="P240">
        <f t="shared" ca="1" si="54"/>
        <v>2502.7004570004151</v>
      </c>
      <c r="Q240">
        <f t="shared" ca="1" si="55"/>
        <v>2398.7180248085938</v>
      </c>
      <c r="R240">
        <f t="shared" ca="1" si="56"/>
        <v>2419.134666745801</v>
      </c>
      <c r="S240">
        <f t="shared" ca="1" si="57"/>
        <v>137.69363166953531</v>
      </c>
      <c r="T240">
        <f t="shared" ca="1" si="58"/>
        <v>50.566799216570715</v>
      </c>
      <c r="U240">
        <f t="shared" ca="1" si="59"/>
        <v>59.113300492610833</v>
      </c>
    </row>
    <row r="241" spans="1:21" x14ac:dyDescent="0.3">
      <c r="A241" t="s">
        <v>24</v>
      </c>
      <c r="B241">
        <v>10</v>
      </c>
      <c r="C241">
        <v>421228</v>
      </c>
      <c r="D241">
        <v>501730</v>
      </c>
      <c r="E241">
        <v>461577</v>
      </c>
      <c r="F241">
        <v>431767</v>
      </c>
      <c r="G241">
        <v>431400</v>
      </c>
      <c r="H241">
        <v>421573</v>
      </c>
      <c r="I241">
        <v>421847</v>
      </c>
      <c r="J241">
        <v>421584</v>
      </c>
      <c r="K241">
        <v>421337</v>
      </c>
      <c r="L241">
        <f t="shared" ca="1" si="50"/>
        <v>421225</v>
      </c>
      <c r="M241">
        <f t="shared" ca="1" si="51"/>
        <v>0.71220843967001013</v>
      </c>
      <c r="N241">
        <f t="shared" ca="1" si="52"/>
        <v>19112.113478544721</v>
      </c>
      <c r="O241">
        <f t="shared" ca="1" si="53"/>
        <v>9579.6783191880841</v>
      </c>
      <c r="P241">
        <f t="shared" ca="1" si="54"/>
        <v>2502.7004570004151</v>
      </c>
      <c r="Q241">
        <f t="shared" ca="1" si="55"/>
        <v>2415.5736245474509</v>
      </c>
      <c r="R241">
        <f t="shared" ca="1" si="56"/>
        <v>82.616179001721179</v>
      </c>
      <c r="S241">
        <f t="shared" ca="1" si="57"/>
        <v>147.66454982491544</v>
      </c>
      <c r="T241">
        <f t="shared" ca="1" si="58"/>
        <v>85.227609947177868</v>
      </c>
      <c r="U241">
        <f t="shared" ca="1" si="59"/>
        <v>26.589115081013709</v>
      </c>
    </row>
    <row r="242" spans="1:21" x14ac:dyDescent="0.3">
      <c r="A242" t="s">
        <v>71</v>
      </c>
      <c r="B242">
        <v>1</v>
      </c>
      <c r="C242">
        <v>341563</v>
      </c>
      <c r="D242">
        <v>401207</v>
      </c>
      <c r="E242">
        <v>401549</v>
      </c>
      <c r="F242">
        <v>361214</v>
      </c>
      <c r="G242">
        <v>361094</v>
      </c>
      <c r="H242">
        <v>360977</v>
      </c>
      <c r="I242">
        <v>351792</v>
      </c>
      <c r="J242">
        <v>341121</v>
      </c>
      <c r="K242">
        <v>341601</v>
      </c>
      <c r="L242">
        <f t="shared" ca="1" si="50"/>
        <v>341115</v>
      </c>
      <c r="M242">
        <f ca="1">(C242-$L242)/$L242*100*100</f>
        <v>13.133400759274732</v>
      </c>
      <c r="N242">
        <f t="shared" ref="N242:U252" ca="1" si="60">(D242-$L242)/$L242*100*100</f>
        <v>1761.6346393445028</v>
      </c>
      <c r="O242">
        <f t="shared" ca="1" si="60"/>
        <v>1771.6605836741276</v>
      </c>
      <c r="P242">
        <f t="shared" ca="1" si="60"/>
        <v>589.21478093897952</v>
      </c>
      <c r="Q242">
        <f t="shared" ca="1" si="60"/>
        <v>585.69690573560229</v>
      </c>
      <c r="R242">
        <f t="shared" ca="1" si="60"/>
        <v>582.26697741230964</v>
      </c>
      <c r="S242">
        <f t="shared" ca="1" si="60"/>
        <v>313.00294622048284</v>
      </c>
      <c r="T242">
        <f t="shared" ca="1" si="60"/>
        <v>0.17589376016885802</v>
      </c>
      <c r="U242">
        <f t="shared" ca="1" si="60"/>
        <v>14.2473945736775</v>
      </c>
    </row>
    <row r="243" spans="1:21" x14ac:dyDescent="0.3">
      <c r="A243" t="s">
        <v>71</v>
      </c>
      <c r="B243">
        <v>2</v>
      </c>
      <c r="C243">
        <v>341170</v>
      </c>
      <c r="D243">
        <v>401207</v>
      </c>
      <c r="E243">
        <v>401549</v>
      </c>
      <c r="F243">
        <v>361214</v>
      </c>
      <c r="G243">
        <v>361108</v>
      </c>
      <c r="H243">
        <v>361021</v>
      </c>
      <c r="I243">
        <v>351339</v>
      </c>
      <c r="J243">
        <v>341127</v>
      </c>
      <c r="K243">
        <v>341163</v>
      </c>
      <c r="L243">
        <f t="shared" ca="1" si="50"/>
        <v>341115</v>
      </c>
      <c r="M243">
        <f t="shared" ref="M243:M252" ca="1" si="61">(C243-$L243)/$L243*100*100</f>
        <v>1.6123594682145317</v>
      </c>
      <c r="N243">
        <f t="shared" ca="1" si="60"/>
        <v>1761.6346393445028</v>
      </c>
      <c r="O243">
        <f t="shared" ca="1" si="60"/>
        <v>1771.6605836741276</v>
      </c>
      <c r="P243">
        <f t="shared" ca="1" si="60"/>
        <v>589.21478093897952</v>
      </c>
      <c r="Q243">
        <f t="shared" ca="1" si="60"/>
        <v>586.10732450932971</v>
      </c>
      <c r="R243">
        <f t="shared" ca="1" si="60"/>
        <v>583.55686498688124</v>
      </c>
      <c r="S243">
        <f t="shared" ca="1" si="60"/>
        <v>299.72296732773407</v>
      </c>
      <c r="T243">
        <f t="shared" ca="1" si="60"/>
        <v>0.35178752033771604</v>
      </c>
      <c r="U243">
        <f t="shared" ca="1" si="60"/>
        <v>1.4071500813508642</v>
      </c>
    </row>
    <row r="244" spans="1:21" x14ac:dyDescent="0.3">
      <c r="A244" t="s">
        <v>25</v>
      </c>
      <c r="B244">
        <v>3</v>
      </c>
      <c r="C244">
        <v>351205</v>
      </c>
      <c r="D244">
        <v>401207</v>
      </c>
      <c r="E244">
        <v>401549</v>
      </c>
      <c r="F244">
        <v>361214</v>
      </c>
      <c r="G244">
        <v>361175</v>
      </c>
      <c r="H244">
        <v>361018</v>
      </c>
      <c r="I244">
        <v>351494</v>
      </c>
      <c r="J244">
        <v>341115</v>
      </c>
      <c r="K244">
        <v>351253</v>
      </c>
      <c r="L244">
        <f t="shared" ca="1" si="50"/>
        <v>341115</v>
      </c>
      <c r="M244">
        <f t="shared" ca="1" si="61"/>
        <v>295.79467335062952</v>
      </c>
      <c r="N244">
        <f t="shared" ca="1" si="60"/>
        <v>1761.6346393445028</v>
      </c>
      <c r="O244">
        <f t="shared" ca="1" si="60"/>
        <v>1771.6605836741276</v>
      </c>
      <c r="P244">
        <f t="shared" ca="1" si="60"/>
        <v>589.21478093897952</v>
      </c>
      <c r="Q244">
        <f t="shared" ca="1" si="60"/>
        <v>588.07147149788193</v>
      </c>
      <c r="R244">
        <f t="shared" ca="1" si="60"/>
        <v>583.46891810679676</v>
      </c>
      <c r="S244">
        <f t="shared" ca="1" si="60"/>
        <v>304.26688946542953</v>
      </c>
      <c r="T244">
        <f t="shared" ca="1" si="60"/>
        <v>0</v>
      </c>
      <c r="U244">
        <f t="shared" ca="1" si="60"/>
        <v>297.20182343198042</v>
      </c>
    </row>
    <row r="245" spans="1:21" x14ac:dyDescent="0.3">
      <c r="A245" t="s">
        <v>25</v>
      </c>
      <c r="B245">
        <v>4</v>
      </c>
      <c r="C245">
        <v>341394</v>
      </c>
      <c r="D245">
        <v>401207</v>
      </c>
      <c r="E245">
        <v>401549</v>
      </c>
      <c r="F245">
        <v>361214</v>
      </c>
      <c r="G245">
        <v>361037</v>
      </c>
      <c r="H245">
        <v>361108</v>
      </c>
      <c r="I245">
        <v>351523</v>
      </c>
      <c r="J245">
        <v>341172</v>
      </c>
      <c r="K245">
        <v>341413</v>
      </c>
      <c r="L245">
        <f t="shared" ca="1" si="50"/>
        <v>341115</v>
      </c>
      <c r="M245">
        <f t="shared" ca="1" si="61"/>
        <v>8.1790598478518977</v>
      </c>
      <c r="N245">
        <f t="shared" ca="1" si="60"/>
        <v>1761.6346393445028</v>
      </c>
      <c r="O245">
        <f t="shared" ca="1" si="60"/>
        <v>1771.6605836741276</v>
      </c>
      <c r="P245">
        <f t="shared" ca="1" si="60"/>
        <v>589.21478093897952</v>
      </c>
      <c r="Q245">
        <f t="shared" ca="1" si="60"/>
        <v>584.0259150139982</v>
      </c>
      <c r="R245">
        <f t="shared" ca="1" si="60"/>
        <v>586.10732450932971</v>
      </c>
      <c r="S245">
        <f t="shared" ca="1" si="60"/>
        <v>305.11704263957904</v>
      </c>
      <c r="T245">
        <f t="shared" ca="1" si="60"/>
        <v>1.6709907216041511</v>
      </c>
      <c r="U245">
        <f t="shared" ca="1" si="60"/>
        <v>8.7360567550532817</v>
      </c>
    </row>
    <row r="246" spans="1:21" x14ac:dyDescent="0.3">
      <c r="A246" t="s">
        <v>25</v>
      </c>
      <c r="B246">
        <v>5</v>
      </c>
      <c r="C246">
        <v>341189</v>
      </c>
      <c r="D246">
        <v>401207</v>
      </c>
      <c r="E246">
        <v>401549</v>
      </c>
      <c r="F246">
        <v>361214</v>
      </c>
      <c r="G246">
        <v>361201</v>
      </c>
      <c r="H246">
        <v>360975</v>
      </c>
      <c r="I246">
        <v>351501</v>
      </c>
      <c r="J246">
        <v>341115</v>
      </c>
      <c r="K246">
        <v>341202</v>
      </c>
      <c r="L246">
        <f t="shared" ca="1" si="50"/>
        <v>341115</v>
      </c>
      <c r="M246">
        <f t="shared" ca="1" si="61"/>
        <v>2.1693563754159153</v>
      </c>
      <c r="N246">
        <f t="shared" ca="1" si="60"/>
        <v>1761.6346393445028</v>
      </c>
      <c r="O246">
        <f t="shared" ca="1" si="60"/>
        <v>1771.6605836741276</v>
      </c>
      <c r="P246">
        <f t="shared" ca="1" si="60"/>
        <v>589.21478093897952</v>
      </c>
      <c r="Q246">
        <f t="shared" ca="1" si="60"/>
        <v>588.83367779194703</v>
      </c>
      <c r="R246">
        <f t="shared" ca="1" si="60"/>
        <v>582.20834615891999</v>
      </c>
      <c r="S246">
        <f t="shared" ca="1" si="60"/>
        <v>304.47209885229319</v>
      </c>
      <c r="T246">
        <f t="shared" ca="1" si="60"/>
        <v>0</v>
      </c>
      <c r="U246">
        <f t="shared" ca="1" si="60"/>
        <v>2.550459522448441</v>
      </c>
    </row>
    <row r="247" spans="1:21" x14ac:dyDescent="0.3">
      <c r="A247" t="s">
        <v>25</v>
      </c>
      <c r="B247">
        <v>6</v>
      </c>
      <c r="C247">
        <v>341616</v>
      </c>
      <c r="D247">
        <v>401207</v>
      </c>
      <c r="E247">
        <v>401549</v>
      </c>
      <c r="F247">
        <v>361214</v>
      </c>
      <c r="G247">
        <v>361079</v>
      </c>
      <c r="H247">
        <v>360933</v>
      </c>
      <c r="I247">
        <v>351544</v>
      </c>
      <c r="J247">
        <v>341490</v>
      </c>
      <c r="K247">
        <v>341631</v>
      </c>
      <c r="L247">
        <f t="shared" ca="1" si="50"/>
        <v>341115</v>
      </c>
      <c r="M247">
        <f t="shared" ca="1" si="61"/>
        <v>14.687128974099641</v>
      </c>
      <c r="N247">
        <f t="shared" ca="1" si="60"/>
        <v>1761.6346393445028</v>
      </c>
      <c r="O247">
        <f t="shared" ca="1" si="60"/>
        <v>1771.6605836741276</v>
      </c>
      <c r="P247">
        <f t="shared" ca="1" si="60"/>
        <v>589.21478093897952</v>
      </c>
      <c r="Q247">
        <f t="shared" ca="1" si="60"/>
        <v>585.25717133518015</v>
      </c>
      <c r="R247">
        <f t="shared" ca="1" si="60"/>
        <v>580.97708983773805</v>
      </c>
      <c r="S247">
        <f t="shared" ca="1" si="60"/>
        <v>305.73267080017007</v>
      </c>
      <c r="T247">
        <f t="shared" ca="1" si="60"/>
        <v>10.993360010553626</v>
      </c>
      <c r="U247">
        <f t="shared" ca="1" si="60"/>
        <v>15.12686337452179</v>
      </c>
    </row>
    <row r="248" spans="1:21" x14ac:dyDescent="0.3">
      <c r="A248" t="s">
        <v>25</v>
      </c>
      <c r="B248">
        <v>7</v>
      </c>
      <c r="C248">
        <v>341215</v>
      </c>
      <c r="D248">
        <v>401207</v>
      </c>
      <c r="E248">
        <v>401549</v>
      </c>
      <c r="F248">
        <v>361214</v>
      </c>
      <c r="G248">
        <v>361019</v>
      </c>
      <c r="H248">
        <v>360920</v>
      </c>
      <c r="I248">
        <v>351749</v>
      </c>
      <c r="J248">
        <v>351187</v>
      </c>
      <c r="K248">
        <v>341267</v>
      </c>
      <c r="L248">
        <f t="shared" ca="1" si="50"/>
        <v>341115</v>
      </c>
      <c r="M248">
        <f t="shared" ca="1" si="61"/>
        <v>2.9315626694809671</v>
      </c>
      <c r="N248">
        <f t="shared" ca="1" si="60"/>
        <v>1761.6346393445028</v>
      </c>
      <c r="O248">
        <f t="shared" ca="1" si="60"/>
        <v>1771.6605836741276</v>
      </c>
      <c r="P248">
        <f t="shared" ca="1" si="60"/>
        <v>589.21478093897952</v>
      </c>
      <c r="Q248">
        <f t="shared" ca="1" si="60"/>
        <v>583.4982337334917</v>
      </c>
      <c r="R248">
        <f t="shared" ca="1" si="60"/>
        <v>580.59598669070544</v>
      </c>
      <c r="S248">
        <f t="shared" ca="1" si="60"/>
        <v>311.74237427260601</v>
      </c>
      <c r="T248">
        <f t="shared" ca="1" si="60"/>
        <v>295.26699207012297</v>
      </c>
      <c r="U248">
        <f t="shared" ca="1" si="60"/>
        <v>4.4559752576110698</v>
      </c>
    </row>
    <row r="249" spans="1:21" x14ac:dyDescent="0.3">
      <c r="A249" t="s">
        <v>25</v>
      </c>
      <c r="B249">
        <v>8</v>
      </c>
      <c r="C249">
        <v>341140</v>
      </c>
      <c r="D249">
        <v>401207</v>
      </c>
      <c r="E249">
        <v>401549</v>
      </c>
      <c r="F249">
        <v>361214</v>
      </c>
      <c r="G249">
        <v>361111</v>
      </c>
      <c r="H249">
        <v>360899</v>
      </c>
      <c r="I249">
        <v>351636</v>
      </c>
      <c r="J249">
        <v>351232</v>
      </c>
      <c r="K249">
        <v>341148</v>
      </c>
      <c r="L249">
        <f t="shared" ca="1" si="50"/>
        <v>341115</v>
      </c>
      <c r="M249">
        <f t="shared" ca="1" si="61"/>
        <v>0.73289066737024178</v>
      </c>
      <c r="N249">
        <f t="shared" ca="1" si="60"/>
        <v>1761.6346393445028</v>
      </c>
      <c r="O249">
        <f t="shared" ca="1" si="60"/>
        <v>1771.6605836741276</v>
      </c>
      <c r="P249">
        <f t="shared" ca="1" si="60"/>
        <v>589.21478093897952</v>
      </c>
      <c r="Q249">
        <f t="shared" ca="1" si="60"/>
        <v>586.19527138941407</v>
      </c>
      <c r="R249">
        <f t="shared" ca="1" si="60"/>
        <v>579.98035853011447</v>
      </c>
      <c r="S249">
        <f t="shared" ca="1" si="60"/>
        <v>308.4297084560925</v>
      </c>
      <c r="T249">
        <f t="shared" ca="1" si="60"/>
        <v>296.58619527138939</v>
      </c>
      <c r="U249">
        <f t="shared" ca="1" si="60"/>
        <v>0.96741568092871888</v>
      </c>
    </row>
    <row r="250" spans="1:21" x14ac:dyDescent="0.3">
      <c r="A250" t="s">
        <v>25</v>
      </c>
      <c r="B250">
        <v>9</v>
      </c>
      <c r="C250">
        <v>341177</v>
      </c>
      <c r="D250">
        <v>401207</v>
      </c>
      <c r="E250">
        <v>401549</v>
      </c>
      <c r="F250">
        <v>361214</v>
      </c>
      <c r="G250">
        <v>361034</v>
      </c>
      <c r="H250">
        <v>360892</v>
      </c>
      <c r="I250">
        <v>351485</v>
      </c>
      <c r="J250">
        <v>351189</v>
      </c>
      <c r="K250">
        <v>341186</v>
      </c>
      <c r="L250">
        <f t="shared" ca="1" si="50"/>
        <v>341115</v>
      </c>
      <c r="M250">
        <f t="shared" ca="1" si="61"/>
        <v>1.8175688550781994</v>
      </c>
      <c r="N250">
        <f t="shared" ca="1" si="60"/>
        <v>1761.6346393445028</v>
      </c>
      <c r="O250">
        <f t="shared" ca="1" si="60"/>
        <v>1771.6605836741276</v>
      </c>
      <c r="P250">
        <f t="shared" ca="1" si="60"/>
        <v>589.21478093897952</v>
      </c>
      <c r="Q250">
        <f t="shared" ca="1" si="60"/>
        <v>583.93796813391384</v>
      </c>
      <c r="R250">
        <f t="shared" ca="1" si="60"/>
        <v>579.77514914325081</v>
      </c>
      <c r="S250">
        <f t="shared" ca="1" si="60"/>
        <v>304.00304882517622</v>
      </c>
      <c r="T250">
        <f t="shared" ca="1" si="60"/>
        <v>295.32562332351262</v>
      </c>
      <c r="U250">
        <f t="shared" ca="1" si="60"/>
        <v>2.0814094953314863</v>
      </c>
    </row>
    <row r="251" spans="1:21" x14ac:dyDescent="0.3">
      <c r="A251" t="s">
        <v>25</v>
      </c>
      <c r="B251">
        <v>10</v>
      </c>
      <c r="C251">
        <v>341282</v>
      </c>
      <c r="D251">
        <v>401207</v>
      </c>
      <c r="E251">
        <v>401549</v>
      </c>
      <c r="F251">
        <v>361214</v>
      </c>
      <c r="G251">
        <v>361109</v>
      </c>
      <c r="H251">
        <v>360981</v>
      </c>
      <c r="I251">
        <v>351469</v>
      </c>
      <c r="J251">
        <v>351383</v>
      </c>
      <c r="K251">
        <v>341297</v>
      </c>
      <c r="L251">
        <f t="shared" ca="1" si="50"/>
        <v>341115</v>
      </c>
      <c r="M251">
        <f t="shared" ca="1" si="61"/>
        <v>4.8957096580332147</v>
      </c>
      <c r="N251">
        <f t="shared" ca="1" si="60"/>
        <v>1761.6346393445028</v>
      </c>
      <c r="O251">
        <f t="shared" ca="1" si="60"/>
        <v>1771.6605836741276</v>
      </c>
      <c r="P251">
        <f t="shared" ca="1" si="60"/>
        <v>589.21478093897952</v>
      </c>
      <c r="Q251">
        <f t="shared" ca="1" si="60"/>
        <v>586.13664013602454</v>
      </c>
      <c r="R251">
        <f t="shared" ca="1" si="60"/>
        <v>582.38423991908883</v>
      </c>
      <c r="S251">
        <f t="shared" ca="1" si="60"/>
        <v>303.53399879805932</v>
      </c>
      <c r="T251">
        <f t="shared" ca="1" si="60"/>
        <v>301.01285490230566</v>
      </c>
      <c r="U251">
        <f t="shared" ca="1" si="60"/>
        <v>5.3354440584553595</v>
      </c>
    </row>
    <row r="252" spans="1:21" x14ac:dyDescent="0.3">
      <c r="A252" t="s">
        <v>17</v>
      </c>
      <c r="B252">
        <v>1</v>
      </c>
      <c r="C252">
        <v>440965</v>
      </c>
      <c r="D252">
        <v>491323</v>
      </c>
      <c r="E252">
        <v>501400</v>
      </c>
      <c r="F252">
        <v>451362</v>
      </c>
      <c r="G252">
        <v>441083</v>
      </c>
      <c r="H252">
        <v>440980</v>
      </c>
      <c r="I252">
        <v>441371</v>
      </c>
      <c r="J252">
        <v>441195</v>
      </c>
      <c r="K252">
        <v>441127</v>
      </c>
      <c r="L252">
        <f t="shared" ca="1" si="50"/>
        <v>440942</v>
      </c>
      <c r="M252">
        <f t="shared" ca="1" si="61"/>
        <v>0.52161055195467876</v>
      </c>
      <c r="N252">
        <f t="shared" ca="1" si="60"/>
        <v>1142.5765746968989</v>
      </c>
      <c r="O252">
        <f t="shared" ca="1" si="60"/>
        <v>1371.1100326119988</v>
      </c>
      <c r="P252">
        <f t="shared" ca="1" si="60"/>
        <v>236.31225875511973</v>
      </c>
      <c r="Q252">
        <f t="shared" ca="1" si="60"/>
        <v>3.1976994706786832</v>
      </c>
      <c r="R252">
        <f t="shared" ca="1" si="60"/>
        <v>0.86179134670773039</v>
      </c>
      <c r="S252">
        <f t="shared" ca="1" si="60"/>
        <v>9.7291707299372714</v>
      </c>
      <c r="T252">
        <f t="shared" ca="1" si="60"/>
        <v>5.7377160715014668</v>
      </c>
      <c r="U252">
        <f t="shared" ca="1" si="60"/>
        <v>4.1955631352876344</v>
      </c>
    </row>
    <row r="253" spans="1:21" x14ac:dyDescent="0.3">
      <c r="A253" t="s">
        <v>17</v>
      </c>
      <c r="B253">
        <v>2</v>
      </c>
      <c r="C253">
        <v>440942</v>
      </c>
      <c r="D253">
        <v>491323</v>
      </c>
      <c r="E253">
        <v>501400</v>
      </c>
      <c r="F253">
        <v>451362</v>
      </c>
      <c r="G253">
        <v>441316</v>
      </c>
      <c r="H253">
        <v>441015</v>
      </c>
      <c r="I253">
        <v>441599</v>
      </c>
      <c r="J253">
        <v>441225</v>
      </c>
      <c r="K253">
        <v>440998</v>
      </c>
      <c r="L253">
        <f t="shared" ca="1" si="50"/>
        <v>440942</v>
      </c>
      <c r="M253">
        <f t="shared" ca="1" si="51"/>
        <v>0</v>
      </c>
      <c r="N253">
        <f t="shared" ca="1" si="52"/>
        <v>11425.765746968989</v>
      </c>
      <c r="O253">
        <f t="shared" ca="1" si="53"/>
        <v>13711.100326119988</v>
      </c>
      <c r="P253">
        <f t="shared" ca="1" si="54"/>
        <v>2363.1225875511973</v>
      </c>
      <c r="Q253">
        <f t="shared" ca="1" si="55"/>
        <v>84.818411491760827</v>
      </c>
      <c r="R253">
        <f t="shared" ca="1" si="56"/>
        <v>16.555465344648503</v>
      </c>
      <c r="S253">
        <f t="shared" ca="1" si="57"/>
        <v>148.99918810183652</v>
      </c>
      <c r="T253">
        <f t="shared" ca="1" si="58"/>
        <v>64.180776610075711</v>
      </c>
      <c r="U253">
        <f t="shared" ca="1" si="59"/>
        <v>12.700083004113921</v>
      </c>
    </row>
    <row r="254" spans="1:21" x14ac:dyDescent="0.3">
      <c r="A254" t="s">
        <v>54</v>
      </c>
      <c r="B254">
        <v>3</v>
      </c>
      <c r="C254">
        <v>440960</v>
      </c>
      <c r="D254">
        <v>491323</v>
      </c>
      <c r="E254">
        <v>501400</v>
      </c>
      <c r="F254">
        <v>451362</v>
      </c>
      <c r="G254">
        <v>441090</v>
      </c>
      <c r="H254">
        <v>441231</v>
      </c>
      <c r="I254">
        <v>441545</v>
      </c>
      <c r="J254">
        <v>441197</v>
      </c>
      <c r="K254">
        <v>441030</v>
      </c>
      <c r="L254">
        <f t="shared" ca="1" si="50"/>
        <v>440942</v>
      </c>
      <c r="M254">
        <f t="shared" ca="1" si="51"/>
        <v>4.0821695370366164</v>
      </c>
      <c r="N254">
        <f t="shared" ca="1" si="52"/>
        <v>11425.765746968989</v>
      </c>
      <c r="O254">
        <f t="shared" ca="1" si="53"/>
        <v>13711.100326119988</v>
      </c>
      <c r="P254">
        <f t="shared" ca="1" si="54"/>
        <v>2363.1225875511973</v>
      </c>
      <c r="Q254">
        <f t="shared" ca="1" si="55"/>
        <v>33.564505082301075</v>
      </c>
      <c r="R254">
        <f t="shared" ca="1" si="56"/>
        <v>65.541499789087908</v>
      </c>
      <c r="S254">
        <f t="shared" ca="1" si="57"/>
        <v>136.75267949072668</v>
      </c>
      <c r="T254">
        <f t="shared" ca="1" si="58"/>
        <v>57.830735108018743</v>
      </c>
      <c r="U254">
        <f t="shared" ca="1" si="59"/>
        <v>19.957273292179018</v>
      </c>
    </row>
    <row r="255" spans="1:21" x14ac:dyDescent="0.3">
      <c r="A255" t="s">
        <v>54</v>
      </c>
      <c r="B255">
        <v>4</v>
      </c>
      <c r="C255">
        <v>440945</v>
      </c>
      <c r="D255">
        <v>491323</v>
      </c>
      <c r="E255">
        <v>501400</v>
      </c>
      <c r="F255">
        <v>451362</v>
      </c>
      <c r="G255">
        <v>441066</v>
      </c>
      <c r="H255">
        <v>441067</v>
      </c>
      <c r="I255">
        <v>441232</v>
      </c>
      <c r="J255">
        <v>441149</v>
      </c>
      <c r="K255">
        <v>441115</v>
      </c>
      <c r="L255">
        <f t="shared" ca="1" si="50"/>
        <v>440942</v>
      </c>
      <c r="M255">
        <f t="shared" ca="1" si="51"/>
        <v>0.68036158950610293</v>
      </c>
      <c r="N255">
        <f t="shared" ca="1" si="52"/>
        <v>11425.765746968989</v>
      </c>
      <c r="O255">
        <f t="shared" ca="1" si="53"/>
        <v>13711.100326119988</v>
      </c>
      <c r="P255">
        <f t="shared" ca="1" si="54"/>
        <v>2363.1225875511973</v>
      </c>
      <c r="Q255">
        <f t="shared" ca="1" si="55"/>
        <v>28.121612366252247</v>
      </c>
      <c r="R255">
        <f t="shared" ca="1" si="56"/>
        <v>28.348399562754288</v>
      </c>
      <c r="S255">
        <f t="shared" ca="1" si="57"/>
        <v>65.768286985589938</v>
      </c>
      <c r="T255">
        <f t="shared" ca="1" si="58"/>
        <v>46.944949675921094</v>
      </c>
      <c r="U255">
        <f t="shared" ca="1" si="59"/>
        <v>39.234184994851937</v>
      </c>
    </row>
    <row r="256" spans="1:21" x14ac:dyDescent="0.3">
      <c r="A256" t="s">
        <v>54</v>
      </c>
      <c r="B256">
        <v>5</v>
      </c>
      <c r="C256">
        <v>441147</v>
      </c>
      <c r="D256">
        <v>491323</v>
      </c>
      <c r="E256">
        <v>501400</v>
      </c>
      <c r="F256">
        <v>451362</v>
      </c>
      <c r="G256">
        <v>441139</v>
      </c>
      <c r="H256">
        <v>441001</v>
      </c>
      <c r="I256">
        <v>441309</v>
      </c>
      <c r="J256">
        <v>441071</v>
      </c>
      <c r="K256">
        <v>441211</v>
      </c>
      <c r="L256">
        <f t="shared" ca="1" si="50"/>
        <v>440942</v>
      </c>
      <c r="M256">
        <f t="shared" ca="1" si="51"/>
        <v>46.491375282917026</v>
      </c>
      <c r="N256">
        <f t="shared" ca="1" si="52"/>
        <v>11425.765746968989</v>
      </c>
      <c r="O256">
        <f t="shared" ca="1" si="53"/>
        <v>13711.100326119988</v>
      </c>
      <c r="P256">
        <f t="shared" ca="1" si="54"/>
        <v>2363.1225875511973</v>
      </c>
      <c r="Q256">
        <f t="shared" ca="1" si="55"/>
        <v>44.677077710900754</v>
      </c>
      <c r="R256">
        <f t="shared" ca="1" si="56"/>
        <v>13.380444593620021</v>
      </c>
      <c r="S256">
        <f t="shared" ca="1" si="57"/>
        <v>83.230901116246585</v>
      </c>
      <c r="T256">
        <f t="shared" ca="1" si="58"/>
        <v>29.255548348762424</v>
      </c>
      <c r="U256">
        <f t="shared" ca="1" si="59"/>
        <v>61.00575585904722</v>
      </c>
    </row>
    <row r="257" spans="1:21" x14ac:dyDescent="0.3">
      <c r="A257" t="s">
        <v>54</v>
      </c>
      <c r="B257">
        <v>6</v>
      </c>
      <c r="C257">
        <v>440974</v>
      </c>
      <c r="D257">
        <v>491323</v>
      </c>
      <c r="E257">
        <v>501400</v>
      </c>
      <c r="F257">
        <v>451362</v>
      </c>
      <c r="G257">
        <v>441188</v>
      </c>
      <c r="H257">
        <v>441063</v>
      </c>
      <c r="I257">
        <v>441575</v>
      </c>
      <c r="J257">
        <v>441000</v>
      </c>
      <c r="K257">
        <v>441114</v>
      </c>
      <c r="L257">
        <f t="shared" ca="1" si="50"/>
        <v>440942</v>
      </c>
      <c r="M257">
        <f t="shared" ca="1" si="51"/>
        <v>7.2571902880650967</v>
      </c>
      <c r="N257">
        <f t="shared" ca="1" si="52"/>
        <v>11425.765746968989</v>
      </c>
      <c r="O257">
        <f t="shared" ca="1" si="53"/>
        <v>13711.100326119988</v>
      </c>
      <c r="P257">
        <f t="shared" ca="1" si="54"/>
        <v>2363.1225875511973</v>
      </c>
      <c r="Q257">
        <f t="shared" ca="1" si="55"/>
        <v>55.789650339500433</v>
      </c>
      <c r="R257">
        <f t="shared" ca="1" si="56"/>
        <v>27.441250776746148</v>
      </c>
      <c r="S257">
        <f t="shared" ca="1" si="57"/>
        <v>143.55629538578771</v>
      </c>
      <c r="T257">
        <f t="shared" ca="1" si="58"/>
        <v>13.153657397117989</v>
      </c>
      <c r="U257">
        <f t="shared" ca="1" si="59"/>
        <v>39.007397798349899</v>
      </c>
    </row>
    <row r="258" spans="1:21" x14ac:dyDescent="0.3">
      <c r="A258" t="s">
        <v>54</v>
      </c>
      <c r="B258">
        <v>7</v>
      </c>
      <c r="C258">
        <v>441094</v>
      </c>
      <c r="D258">
        <v>491323</v>
      </c>
      <c r="E258">
        <v>501400</v>
      </c>
      <c r="F258">
        <v>451362</v>
      </c>
      <c r="G258">
        <v>441119</v>
      </c>
      <c r="H258">
        <v>441199</v>
      </c>
      <c r="I258">
        <v>441486</v>
      </c>
      <c r="J258">
        <v>441106</v>
      </c>
      <c r="K258">
        <v>441174</v>
      </c>
      <c r="L258">
        <f t="shared" ca="1" si="50"/>
        <v>440942</v>
      </c>
      <c r="M258">
        <f t="shared" ca="1" si="51"/>
        <v>34.471653868309211</v>
      </c>
      <c r="N258">
        <f t="shared" ca="1" si="52"/>
        <v>11425.765746968989</v>
      </c>
      <c r="O258">
        <f t="shared" ca="1" si="53"/>
        <v>13711.100326119988</v>
      </c>
      <c r="P258">
        <f t="shared" ca="1" si="54"/>
        <v>2363.1225875511973</v>
      </c>
      <c r="Q258">
        <f t="shared" ca="1" si="55"/>
        <v>40.141333780860066</v>
      </c>
      <c r="R258">
        <f t="shared" ca="1" si="56"/>
        <v>58.284309501022804</v>
      </c>
      <c r="S258">
        <f t="shared" ca="1" si="57"/>
        <v>123.37223489710665</v>
      </c>
      <c r="T258">
        <f t="shared" ca="1" si="58"/>
        <v>37.19310022633362</v>
      </c>
      <c r="U258">
        <f t="shared" ca="1" si="59"/>
        <v>52.614629588471956</v>
      </c>
    </row>
    <row r="259" spans="1:21" x14ac:dyDescent="0.3">
      <c r="A259" t="s">
        <v>54</v>
      </c>
      <c r="B259">
        <v>8</v>
      </c>
      <c r="C259">
        <v>440980</v>
      </c>
      <c r="D259">
        <v>491323</v>
      </c>
      <c r="E259">
        <v>501400</v>
      </c>
      <c r="F259">
        <v>451362</v>
      </c>
      <c r="G259">
        <v>441244</v>
      </c>
      <c r="H259">
        <v>441077</v>
      </c>
      <c r="I259">
        <v>441385</v>
      </c>
      <c r="J259">
        <v>441044</v>
      </c>
      <c r="K259">
        <v>441056</v>
      </c>
      <c r="L259">
        <f t="shared" ref="L259:L301" ca="1" si="62">MIN(INDIRECT("C" &amp; (10*INT((ROW()-2)/10)+2) &amp; ":K" &amp; (10*INT((ROW()-2)/10)+11)))</f>
        <v>440942</v>
      </c>
      <c r="M259">
        <f t="shared" ref="M259:M301" ca="1" si="63">(C259-$L259)/$L259*100*1000</f>
        <v>8.6179134670773028</v>
      </c>
      <c r="N259">
        <f t="shared" ref="N259:N301" ca="1" si="64">(D259-$L259)/$L259*100*1000</f>
        <v>11425.765746968989</v>
      </c>
      <c r="O259">
        <f t="shared" ref="O259:O301" ca="1" si="65">(E259-$L259)/$L259*100*1000</f>
        <v>13711.100326119988</v>
      </c>
      <c r="P259">
        <f t="shared" ref="P259:P301" ca="1" si="66">(F259-$L259)/$L259*100*1000</f>
        <v>2363.1225875511973</v>
      </c>
      <c r="Q259">
        <f t="shared" ref="Q259:Q301" ca="1" si="67">(G259-$L259)/$L259*100*1000</f>
        <v>68.489733343614361</v>
      </c>
      <c r="R259">
        <f t="shared" ref="R259:R301" ca="1" si="68">(H259-$L259)/$L259*100*1000</f>
        <v>30.616271527774625</v>
      </c>
      <c r="S259">
        <f t="shared" ref="S259:S301" ca="1" si="69">(I259-$L259)/$L259*100*1000</f>
        <v>100.46672805040119</v>
      </c>
      <c r="T259">
        <f t="shared" ref="T259:T301" ca="1" si="70">(J259-$L259)/$L259*100*1000</f>
        <v>23.132294043207498</v>
      </c>
      <c r="U259">
        <f t="shared" ref="U259:U301" ca="1" si="71">(K259-$L259)/$L259*100*1000</f>
        <v>25.85374040123191</v>
      </c>
    </row>
    <row r="260" spans="1:21" x14ac:dyDescent="0.3">
      <c r="A260" t="s">
        <v>54</v>
      </c>
      <c r="B260">
        <v>9</v>
      </c>
      <c r="C260">
        <v>441045</v>
      </c>
      <c r="D260">
        <v>491323</v>
      </c>
      <c r="E260">
        <v>501400</v>
      </c>
      <c r="F260">
        <v>451362</v>
      </c>
      <c r="G260">
        <v>441110</v>
      </c>
      <c r="H260">
        <v>441137</v>
      </c>
      <c r="I260">
        <v>441405</v>
      </c>
      <c r="J260">
        <v>441017</v>
      </c>
      <c r="K260">
        <v>441209</v>
      </c>
      <c r="L260">
        <f t="shared" ca="1" si="62"/>
        <v>440942</v>
      </c>
      <c r="M260">
        <f t="shared" ca="1" si="63"/>
        <v>23.359081239709532</v>
      </c>
      <c r="N260">
        <f t="shared" ca="1" si="64"/>
        <v>11425.765746968989</v>
      </c>
      <c r="O260">
        <f t="shared" ca="1" si="65"/>
        <v>13711.100326119988</v>
      </c>
      <c r="P260">
        <f t="shared" ca="1" si="66"/>
        <v>2363.1225875511973</v>
      </c>
      <c r="Q260">
        <f t="shared" ca="1" si="67"/>
        <v>38.100249012341756</v>
      </c>
      <c r="R260">
        <f t="shared" ca="1" si="68"/>
        <v>44.223503317896686</v>
      </c>
      <c r="S260">
        <f t="shared" ca="1" si="69"/>
        <v>105.00247198044187</v>
      </c>
      <c r="T260">
        <f t="shared" ca="1" si="70"/>
        <v>17.009039737652571</v>
      </c>
      <c r="U260">
        <f t="shared" ca="1" si="71"/>
        <v>60.552181466043145</v>
      </c>
    </row>
    <row r="261" spans="1:21" x14ac:dyDescent="0.3">
      <c r="A261" t="s">
        <v>54</v>
      </c>
      <c r="B261">
        <v>10</v>
      </c>
      <c r="C261">
        <v>441003</v>
      </c>
      <c r="D261">
        <v>491323</v>
      </c>
      <c r="E261">
        <v>501400</v>
      </c>
      <c r="F261">
        <v>451362</v>
      </c>
      <c r="G261">
        <v>441177</v>
      </c>
      <c r="H261">
        <v>441157</v>
      </c>
      <c r="I261">
        <v>441462</v>
      </c>
      <c r="J261">
        <v>441051</v>
      </c>
      <c r="K261">
        <v>441185</v>
      </c>
      <c r="L261">
        <f t="shared" ca="1" si="62"/>
        <v>440942</v>
      </c>
      <c r="M261">
        <f t="shared" ca="1" si="63"/>
        <v>13.834018986624089</v>
      </c>
      <c r="N261">
        <f t="shared" ca="1" si="64"/>
        <v>11425.765746968989</v>
      </c>
      <c r="O261">
        <f t="shared" ca="1" si="65"/>
        <v>13711.100326119988</v>
      </c>
      <c r="P261">
        <f t="shared" ca="1" si="66"/>
        <v>2363.1225875511973</v>
      </c>
      <c r="Q261">
        <f t="shared" ca="1" si="67"/>
        <v>53.294991177978062</v>
      </c>
      <c r="R261">
        <f t="shared" ca="1" si="68"/>
        <v>48.759247247937374</v>
      </c>
      <c r="S261">
        <f t="shared" ca="1" si="69"/>
        <v>117.92934218105783</v>
      </c>
      <c r="T261">
        <f t="shared" ca="1" si="70"/>
        <v>24.719804418721736</v>
      </c>
      <c r="U261">
        <f t="shared" ca="1" si="71"/>
        <v>55.109288749994327</v>
      </c>
    </row>
    <row r="262" spans="1:21" x14ac:dyDescent="0.3">
      <c r="A262" t="s">
        <v>72</v>
      </c>
      <c r="B262">
        <v>1</v>
      </c>
      <c r="C262">
        <v>410752</v>
      </c>
      <c r="D262">
        <v>481015</v>
      </c>
      <c r="E262">
        <v>471075</v>
      </c>
      <c r="F262">
        <v>420886</v>
      </c>
      <c r="G262">
        <v>410942</v>
      </c>
      <c r="H262">
        <v>410718</v>
      </c>
      <c r="I262">
        <v>411028</v>
      </c>
      <c r="J262">
        <v>410854</v>
      </c>
      <c r="K262">
        <v>410877</v>
      </c>
      <c r="L262">
        <f t="shared" ca="1" si="62"/>
        <v>410718</v>
      </c>
      <c r="M262">
        <f t="shared" ca="1" si="63"/>
        <v>8.2781860059700332</v>
      </c>
      <c r="N262">
        <f t="shared" ca="1" si="64"/>
        <v>17115.636519461041</v>
      </c>
      <c r="O262">
        <f t="shared" ca="1" si="65"/>
        <v>14695.484493009802</v>
      </c>
      <c r="P262">
        <f t="shared" ca="1" si="66"/>
        <v>2475.664567903038</v>
      </c>
      <c r="Q262">
        <f t="shared" ca="1" si="67"/>
        <v>54.538637215802567</v>
      </c>
      <c r="R262">
        <f t="shared" ca="1" si="68"/>
        <v>0</v>
      </c>
      <c r="S262">
        <f t="shared" ca="1" si="69"/>
        <v>75.477578289726779</v>
      </c>
      <c r="T262">
        <f t="shared" ca="1" si="70"/>
        <v>33.112744023880133</v>
      </c>
      <c r="U262">
        <f t="shared" ca="1" si="71"/>
        <v>38.712693380859854</v>
      </c>
    </row>
    <row r="263" spans="1:21" x14ac:dyDescent="0.3">
      <c r="A263" t="s">
        <v>72</v>
      </c>
      <c r="B263">
        <v>2</v>
      </c>
      <c r="C263">
        <v>410767</v>
      </c>
      <c r="D263">
        <v>481015</v>
      </c>
      <c r="E263">
        <v>471075</v>
      </c>
      <c r="F263">
        <v>420886</v>
      </c>
      <c r="G263">
        <v>410803</v>
      </c>
      <c r="H263">
        <v>410816</v>
      </c>
      <c r="I263">
        <v>411034</v>
      </c>
      <c r="J263">
        <v>410841</v>
      </c>
      <c r="K263">
        <v>410853</v>
      </c>
      <c r="L263">
        <f t="shared" ca="1" si="62"/>
        <v>410718</v>
      </c>
      <c r="M263">
        <f t="shared" ca="1" si="63"/>
        <v>11.930326890956811</v>
      </c>
      <c r="N263">
        <f t="shared" ca="1" si="64"/>
        <v>17115.636519461041</v>
      </c>
      <c r="O263">
        <f t="shared" ca="1" si="65"/>
        <v>14695.484493009802</v>
      </c>
      <c r="P263">
        <f t="shared" ca="1" si="66"/>
        <v>2475.664567903038</v>
      </c>
      <c r="Q263">
        <f t="shared" ca="1" si="67"/>
        <v>20.69546501492508</v>
      </c>
      <c r="R263">
        <f t="shared" ca="1" si="68"/>
        <v>23.860653781913623</v>
      </c>
      <c r="S263">
        <f t="shared" ca="1" si="69"/>
        <v>76.938434643721493</v>
      </c>
      <c r="T263">
        <f t="shared" ca="1" si="70"/>
        <v>29.947555256891594</v>
      </c>
      <c r="U263">
        <f t="shared" ca="1" si="71"/>
        <v>32.869267964881011</v>
      </c>
    </row>
    <row r="264" spans="1:21" x14ac:dyDescent="0.3">
      <c r="A264" t="s">
        <v>18</v>
      </c>
      <c r="B264">
        <v>3</v>
      </c>
      <c r="C264">
        <v>410780</v>
      </c>
      <c r="D264">
        <v>481015</v>
      </c>
      <c r="E264">
        <v>471075</v>
      </c>
      <c r="F264">
        <v>420886</v>
      </c>
      <c r="G264">
        <v>410893</v>
      </c>
      <c r="H264">
        <v>410876</v>
      </c>
      <c r="I264">
        <v>421064</v>
      </c>
      <c r="J264">
        <v>410873</v>
      </c>
      <c r="K264">
        <v>410919</v>
      </c>
      <c r="L264">
        <f t="shared" ca="1" si="62"/>
        <v>410718</v>
      </c>
      <c r="M264">
        <f t="shared" ca="1" si="63"/>
        <v>15.095515657945354</v>
      </c>
      <c r="N264">
        <f t="shared" ca="1" si="64"/>
        <v>17115.636519461041</v>
      </c>
      <c r="O264">
        <f t="shared" ca="1" si="65"/>
        <v>14695.484493009802</v>
      </c>
      <c r="P264">
        <f t="shared" ca="1" si="66"/>
        <v>2475.664567903038</v>
      </c>
      <c r="Q264">
        <f t="shared" ca="1" si="67"/>
        <v>42.60831032484576</v>
      </c>
      <c r="R264">
        <f t="shared" ca="1" si="68"/>
        <v>38.469217321860746</v>
      </c>
      <c r="S264">
        <f t="shared" ca="1" si="69"/>
        <v>2519.0033064048812</v>
      </c>
      <c r="T264">
        <f t="shared" ca="1" si="70"/>
        <v>37.738789144863389</v>
      </c>
      <c r="U264">
        <f t="shared" ca="1" si="71"/>
        <v>48.938687858822838</v>
      </c>
    </row>
    <row r="265" spans="1:21" x14ac:dyDescent="0.3">
      <c r="A265" t="s">
        <v>18</v>
      </c>
      <c r="B265">
        <v>4</v>
      </c>
      <c r="C265">
        <v>410726</v>
      </c>
      <c r="D265">
        <v>481015</v>
      </c>
      <c r="E265">
        <v>471075</v>
      </c>
      <c r="F265">
        <v>420886</v>
      </c>
      <c r="G265">
        <v>410854</v>
      </c>
      <c r="H265">
        <v>410971</v>
      </c>
      <c r="I265">
        <v>410944</v>
      </c>
      <c r="J265">
        <v>410796</v>
      </c>
      <c r="K265">
        <v>410862</v>
      </c>
      <c r="L265">
        <f t="shared" ca="1" si="62"/>
        <v>410718</v>
      </c>
      <c r="M265">
        <f t="shared" ca="1" si="63"/>
        <v>1.9478084719929489</v>
      </c>
      <c r="N265">
        <f t="shared" ca="1" si="64"/>
        <v>17115.636519461041</v>
      </c>
      <c r="O265">
        <f t="shared" ca="1" si="65"/>
        <v>14695.484493009802</v>
      </c>
      <c r="P265">
        <f t="shared" ca="1" si="66"/>
        <v>2475.664567903038</v>
      </c>
      <c r="Q265">
        <f t="shared" ca="1" si="67"/>
        <v>33.112744023880133</v>
      </c>
      <c r="R265">
        <f t="shared" ca="1" si="68"/>
        <v>61.599442926777016</v>
      </c>
      <c r="S265">
        <f t="shared" ca="1" si="69"/>
        <v>55.025589333800809</v>
      </c>
      <c r="T265">
        <f t="shared" ca="1" si="70"/>
        <v>18.991132601931252</v>
      </c>
      <c r="U265">
        <f t="shared" ca="1" si="71"/>
        <v>35.060552495873083</v>
      </c>
    </row>
    <row r="266" spans="1:21" x14ac:dyDescent="0.3">
      <c r="A266" t="s">
        <v>18</v>
      </c>
      <c r="B266">
        <v>5</v>
      </c>
      <c r="C266">
        <v>410778</v>
      </c>
      <c r="D266">
        <v>481015</v>
      </c>
      <c r="E266">
        <v>471075</v>
      </c>
      <c r="F266">
        <v>420886</v>
      </c>
      <c r="G266">
        <v>410886</v>
      </c>
      <c r="H266">
        <v>410807</v>
      </c>
      <c r="I266">
        <v>411104</v>
      </c>
      <c r="J266">
        <v>410850</v>
      </c>
      <c r="K266">
        <v>410840</v>
      </c>
      <c r="L266">
        <f t="shared" ca="1" si="62"/>
        <v>410718</v>
      </c>
      <c r="M266">
        <f t="shared" ca="1" si="63"/>
        <v>14.608563539947117</v>
      </c>
      <c r="N266">
        <f t="shared" ca="1" si="64"/>
        <v>17115.636519461041</v>
      </c>
      <c r="O266">
        <f t="shared" ca="1" si="65"/>
        <v>14695.484493009802</v>
      </c>
      <c r="P266">
        <f t="shared" ca="1" si="66"/>
        <v>2475.664567903038</v>
      </c>
      <c r="Q266">
        <f t="shared" ca="1" si="67"/>
        <v>40.903977911851925</v>
      </c>
      <c r="R266">
        <f t="shared" ca="1" si="68"/>
        <v>21.669369250921555</v>
      </c>
      <c r="S266">
        <f t="shared" ca="1" si="69"/>
        <v>93.981758773659791</v>
      </c>
      <c r="T266">
        <f t="shared" ca="1" si="70"/>
        <v>32.138839787883654</v>
      </c>
      <c r="U266">
        <f t="shared" ca="1" si="71"/>
        <v>29.704079197892472</v>
      </c>
    </row>
    <row r="267" spans="1:21" x14ac:dyDescent="0.3">
      <c r="A267" t="s">
        <v>18</v>
      </c>
      <c r="B267">
        <v>6</v>
      </c>
      <c r="C267">
        <v>410747</v>
      </c>
      <c r="D267">
        <v>481015</v>
      </c>
      <c r="E267">
        <v>471075</v>
      </c>
      <c r="F267">
        <v>420886</v>
      </c>
      <c r="G267">
        <v>410914</v>
      </c>
      <c r="H267">
        <v>410851</v>
      </c>
      <c r="I267">
        <v>410983</v>
      </c>
      <c r="J267">
        <v>410874</v>
      </c>
      <c r="K267">
        <v>410802</v>
      </c>
      <c r="L267">
        <f t="shared" ca="1" si="62"/>
        <v>410718</v>
      </c>
      <c r="M267">
        <f t="shared" ca="1" si="63"/>
        <v>7.0608057109744395</v>
      </c>
      <c r="N267">
        <f t="shared" ca="1" si="64"/>
        <v>17115.636519461041</v>
      </c>
      <c r="O267">
        <f t="shared" ca="1" si="65"/>
        <v>14695.484493009802</v>
      </c>
      <c r="P267">
        <f t="shared" ca="1" si="66"/>
        <v>2475.664567903038</v>
      </c>
      <c r="Q267">
        <f t="shared" ca="1" si="67"/>
        <v>47.721307563827246</v>
      </c>
      <c r="R267">
        <f t="shared" ca="1" si="68"/>
        <v>32.382315846882776</v>
      </c>
      <c r="S267">
        <f t="shared" ca="1" si="69"/>
        <v>64.52115563476643</v>
      </c>
      <c r="T267">
        <f t="shared" ca="1" si="70"/>
        <v>37.982265203862504</v>
      </c>
      <c r="U267">
        <f t="shared" ca="1" si="71"/>
        <v>20.451988955925962</v>
      </c>
    </row>
    <row r="268" spans="1:21" x14ac:dyDescent="0.3">
      <c r="A268" t="s">
        <v>18</v>
      </c>
      <c r="B268">
        <v>7</v>
      </c>
      <c r="C268">
        <v>410820</v>
      </c>
      <c r="D268">
        <v>481015</v>
      </c>
      <c r="E268">
        <v>471075</v>
      </c>
      <c r="F268">
        <v>420886</v>
      </c>
      <c r="G268">
        <v>410884</v>
      </c>
      <c r="H268">
        <v>410771</v>
      </c>
      <c r="I268">
        <v>411036</v>
      </c>
      <c r="J268">
        <v>410806</v>
      </c>
      <c r="K268">
        <v>410879</v>
      </c>
      <c r="L268">
        <f t="shared" ca="1" si="62"/>
        <v>410718</v>
      </c>
      <c r="M268">
        <f t="shared" ca="1" si="63"/>
        <v>24.834558017910098</v>
      </c>
      <c r="N268">
        <f t="shared" ca="1" si="64"/>
        <v>17115.636519461041</v>
      </c>
      <c r="O268">
        <f t="shared" ca="1" si="65"/>
        <v>14695.484493009802</v>
      </c>
      <c r="P268">
        <f t="shared" ca="1" si="66"/>
        <v>2475.664567903038</v>
      </c>
      <c r="Q268">
        <f t="shared" ca="1" si="67"/>
        <v>40.417025793853689</v>
      </c>
      <c r="R268">
        <f t="shared" ca="1" si="68"/>
        <v>12.904231126953285</v>
      </c>
      <c r="S268">
        <f t="shared" ca="1" si="69"/>
        <v>77.425386761719707</v>
      </c>
      <c r="T268">
        <f t="shared" ca="1" si="70"/>
        <v>21.425893191922437</v>
      </c>
      <c r="U268">
        <f t="shared" ca="1" si="71"/>
        <v>39.199645498858096</v>
      </c>
    </row>
    <row r="269" spans="1:21" x14ac:dyDescent="0.3">
      <c r="A269" t="s">
        <v>18</v>
      </c>
      <c r="B269">
        <v>8</v>
      </c>
      <c r="C269">
        <v>410749</v>
      </c>
      <c r="D269">
        <v>481015</v>
      </c>
      <c r="E269">
        <v>471075</v>
      </c>
      <c r="F269">
        <v>420886</v>
      </c>
      <c r="G269">
        <v>410910</v>
      </c>
      <c r="H269">
        <v>410830</v>
      </c>
      <c r="I269">
        <v>411118</v>
      </c>
      <c r="J269">
        <v>410879</v>
      </c>
      <c r="K269">
        <v>410840</v>
      </c>
      <c r="L269">
        <f t="shared" ca="1" si="62"/>
        <v>410718</v>
      </c>
      <c r="M269">
        <f t="shared" ca="1" si="63"/>
        <v>7.547757828972677</v>
      </c>
      <c r="N269">
        <f t="shared" ca="1" si="64"/>
        <v>17115.636519461041</v>
      </c>
      <c r="O269">
        <f t="shared" ca="1" si="65"/>
        <v>14695.484493009802</v>
      </c>
      <c r="P269">
        <f t="shared" ca="1" si="66"/>
        <v>2475.664567903038</v>
      </c>
      <c r="Q269">
        <f t="shared" ca="1" si="67"/>
        <v>46.747403327830774</v>
      </c>
      <c r="R269">
        <f t="shared" ca="1" si="68"/>
        <v>27.269318607901283</v>
      </c>
      <c r="S269">
        <f t="shared" ca="1" si="69"/>
        <v>97.390423599647448</v>
      </c>
      <c r="T269">
        <f t="shared" ca="1" si="70"/>
        <v>39.199645498858096</v>
      </c>
      <c r="U269">
        <f t="shared" ca="1" si="71"/>
        <v>29.704079197892472</v>
      </c>
    </row>
    <row r="270" spans="1:21" x14ac:dyDescent="0.3">
      <c r="A270" t="s">
        <v>18</v>
      </c>
      <c r="B270">
        <v>9</v>
      </c>
      <c r="C270">
        <v>410756</v>
      </c>
      <c r="D270">
        <v>481015</v>
      </c>
      <c r="E270">
        <v>471075</v>
      </c>
      <c r="F270">
        <v>420886</v>
      </c>
      <c r="G270">
        <v>410858</v>
      </c>
      <c r="H270">
        <v>410732</v>
      </c>
      <c r="I270">
        <v>411105</v>
      </c>
      <c r="J270">
        <v>410827</v>
      </c>
      <c r="K270">
        <v>410834</v>
      </c>
      <c r="L270">
        <f t="shared" ca="1" si="62"/>
        <v>410718</v>
      </c>
      <c r="M270">
        <f t="shared" ca="1" si="63"/>
        <v>9.2520902419665081</v>
      </c>
      <c r="N270">
        <f t="shared" ca="1" si="64"/>
        <v>17115.636519461041</v>
      </c>
      <c r="O270">
        <f t="shared" ca="1" si="65"/>
        <v>14695.484493009802</v>
      </c>
      <c r="P270">
        <f t="shared" ca="1" si="66"/>
        <v>2475.664567903038</v>
      </c>
      <c r="Q270">
        <f t="shared" ca="1" si="67"/>
        <v>34.086648259876604</v>
      </c>
      <c r="R270">
        <f t="shared" ca="1" si="68"/>
        <v>3.4086648259876604</v>
      </c>
      <c r="S270">
        <f t="shared" ca="1" si="69"/>
        <v>94.225234832658899</v>
      </c>
      <c r="T270">
        <f t="shared" ca="1" si="70"/>
        <v>26.53889043090393</v>
      </c>
      <c r="U270">
        <f t="shared" ca="1" si="71"/>
        <v>28.243222843897758</v>
      </c>
    </row>
    <row r="271" spans="1:21" x14ac:dyDescent="0.3">
      <c r="A271" t="s">
        <v>18</v>
      </c>
      <c r="B271">
        <v>10</v>
      </c>
      <c r="C271">
        <v>410842</v>
      </c>
      <c r="D271">
        <v>481015</v>
      </c>
      <c r="E271">
        <v>471075</v>
      </c>
      <c r="F271">
        <v>420886</v>
      </c>
      <c r="G271">
        <v>410950</v>
      </c>
      <c r="H271">
        <v>410976</v>
      </c>
      <c r="I271">
        <v>411127</v>
      </c>
      <c r="J271">
        <v>410842</v>
      </c>
      <c r="K271">
        <v>410904</v>
      </c>
      <c r="L271">
        <f t="shared" ca="1" si="62"/>
        <v>410718</v>
      </c>
      <c r="M271">
        <f t="shared" ca="1" si="63"/>
        <v>30.191031315890708</v>
      </c>
      <c r="N271">
        <f t="shared" ca="1" si="64"/>
        <v>17115.636519461041</v>
      </c>
      <c r="O271">
        <f t="shared" ca="1" si="65"/>
        <v>14695.484493009802</v>
      </c>
      <c r="P271">
        <f t="shared" ca="1" si="66"/>
        <v>2475.664567903038</v>
      </c>
      <c r="Q271">
        <f t="shared" ca="1" si="67"/>
        <v>56.486445687795516</v>
      </c>
      <c r="R271">
        <f t="shared" ca="1" si="68"/>
        <v>62.816823221772609</v>
      </c>
      <c r="S271">
        <f t="shared" ca="1" si="69"/>
        <v>99.581708130639512</v>
      </c>
      <c r="T271">
        <f t="shared" ca="1" si="70"/>
        <v>30.191031315890708</v>
      </c>
      <c r="U271">
        <f t="shared" ca="1" si="71"/>
        <v>45.286546973836067</v>
      </c>
    </row>
    <row r="272" spans="1:21" x14ac:dyDescent="0.3">
      <c r="A272" t="s">
        <v>73</v>
      </c>
      <c r="B272">
        <v>1</v>
      </c>
      <c r="C272">
        <v>451285</v>
      </c>
      <c r="D272">
        <v>521357</v>
      </c>
      <c r="E272">
        <v>491599</v>
      </c>
      <c r="F272">
        <v>461459</v>
      </c>
      <c r="G272">
        <v>451169</v>
      </c>
      <c r="H272">
        <v>461149</v>
      </c>
      <c r="I272">
        <v>451569</v>
      </c>
      <c r="J272">
        <v>451228</v>
      </c>
      <c r="K272">
        <v>451356</v>
      </c>
      <c r="L272">
        <f t="shared" ca="1" si="62"/>
        <v>451011</v>
      </c>
      <c r="M272">
        <f t="shared" ca="1" si="63"/>
        <v>60.752398500258309</v>
      </c>
      <c r="N272">
        <f t="shared" ca="1" si="64"/>
        <v>15597.402280653909</v>
      </c>
      <c r="O272">
        <f t="shared" ca="1" si="65"/>
        <v>8999.3370449944669</v>
      </c>
      <c r="P272">
        <f t="shared" ca="1" si="66"/>
        <v>2316.5732099660545</v>
      </c>
      <c r="Q272">
        <f t="shared" ca="1" si="67"/>
        <v>35.032404974601505</v>
      </c>
      <c r="R272">
        <f t="shared" ca="1" si="68"/>
        <v>2247.8387445095573</v>
      </c>
      <c r="S272">
        <f t="shared" ca="1" si="69"/>
        <v>123.72203782169395</v>
      </c>
      <c r="T272">
        <f t="shared" ca="1" si="70"/>
        <v>48.114125819547638</v>
      </c>
      <c r="U272">
        <f t="shared" ca="1" si="71"/>
        <v>76.494808330617218</v>
      </c>
    </row>
    <row r="273" spans="1:21" x14ac:dyDescent="0.3">
      <c r="A273" t="s">
        <v>73</v>
      </c>
      <c r="B273">
        <v>2</v>
      </c>
      <c r="C273">
        <v>451181</v>
      </c>
      <c r="D273">
        <v>521357</v>
      </c>
      <c r="E273">
        <v>491598</v>
      </c>
      <c r="F273">
        <v>461459</v>
      </c>
      <c r="G273">
        <v>451354</v>
      </c>
      <c r="H273">
        <v>451219</v>
      </c>
      <c r="I273">
        <v>451590</v>
      </c>
      <c r="J273">
        <v>451269</v>
      </c>
      <c r="K273">
        <v>451256</v>
      </c>
      <c r="L273">
        <f t="shared" ca="1" si="62"/>
        <v>451011</v>
      </c>
      <c r="M273">
        <f t="shared" ca="1" si="63"/>
        <v>37.693093960014281</v>
      </c>
      <c r="N273">
        <f t="shared" ca="1" si="64"/>
        <v>15597.402280653909</v>
      </c>
      <c r="O273">
        <f t="shared" ca="1" si="65"/>
        <v>8999.1153209123513</v>
      </c>
      <c r="P273">
        <f t="shared" ca="1" si="66"/>
        <v>2316.5732099660545</v>
      </c>
      <c r="Q273">
        <f t="shared" ca="1" si="67"/>
        <v>76.051360166381755</v>
      </c>
      <c r="R273">
        <f t="shared" ca="1" si="68"/>
        <v>46.118609080488056</v>
      </c>
      <c r="S273">
        <f t="shared" ca="1" si="69"/>
        <v>128.37824354616629</v>
      </c>
      <c r="T273">
        <f t="shared" ca="1" si="70"/>
        <v>57.204813186374608</v>
      </c>
      <c r="U273">
        <f t="shared" ca="1" si="71"/>
        <v>54.322400118844108</v>
      </c>
    </row>
    <row r="274" spans="1:21" x14ac:dyDescent="0.3">
      <c r="A274" t="s">
        <v>19</v>
      </c>
      <c r="B274">
        <v>3</v>
      </c>
      <c r="C274">
        <v>451018</v>
      </c>
      <c r="D274">
        <v>521357</v>
      </c>
      <c r="E274">
        <v>491596</v>
      </c>
      <c r="F274">
        <v>461459</v>
      </c>
      <c r="G274">
        <v>451280</v>
      </c>
      <c r="H274">
        <v>451246</v>
      </c>
      <c r="I274">
        <v>451535</v>
      </c>
      <c r="J274">
        <v>451446</v>
      </c>
      <c r="K274">
        <v>451149</v>
      </c>
      <c r="L274">
        <f t="shared" ca="1" si="62"/>
        <v>451011</v>
      </c>
      <c r="M274">
        <f t="shared" ca="1" si="63"/>
        <v>1.5520685748241176</v>
      </c>
      <c r="N274">
        <f t="shared" ca="1" si="64"/>
        <v>15597.402280653909</v>
      </c>
      <c r="O274">
        <f t="shared" ca="1" si="65"/>
        <v>8998.6718727481148</v>
      </c>
      <c r="P274">
        <f t="shared" ca="1" si="66"/>
        <v>2316.5732099660545</v>
      </c>
      <c r="Q274">
        <f t="shared" ca="1" si="67"/>
        <v>59.643778089669645</v>
      </c>
      <c r="R274">
        <f t="shared" ca="1" si="68"/>
        <v>52.105159297666802</v>
      </c>
      <c r="S274">
        <f t="shared" ca="1" si="69"/>
        <v>116.18341902969107</v>
      </c>
      <c r="T274">
        <f t="shared" ca="1" si="70"/>
        <v>96.449975721213008</v>
      </c>
      <c r="U274">
        <f t="shared" ca="1" si="71"/>
        <v>30.597923332246882</v>
      </c>
    </row>
    <row r="275" spans="1:21" x14ac:dyDescent="0.3">
      <c r="A275" t="s">
        <v>19</v>
      </c>
      <c r="B275">
        <v>4</v>
      </c>
      <c r="C275">
        <v>451304</v>
      </c>
      <c r="D275">
        <v>521357</v>
      </c>
      <c r="E275">
        <v>491599</v>
      </c>
      <c r="F275">
        <v>461459</v>
      </c>
      <c r="G275">
        <v>451324</v>
      </c>
      <c r="H275">
        <v>451294</v>
      </c>
      <c r="I275">
        <v>451552</v>
      </c>
      <c r="J275">
        <v>451189</v>
      </c>
      <c r="K275">
        <v>451403</v>
      </c>
      <c r="L275">
        <f t="shared" ca="1" si="62"/>
        <v>451011</v>
      </c>
      <c r="M275">
        <f t="shared" ca="1" si="63"/>
        <v>64.965156060495204</v>
      </c>
      <c r="N275">
        <f t="shared" ca="1" si="64"/>
        <v>15597.402280653909</v>
      </c>
      <c r="O275">
        <f t="shared" ca="1" si="65"/>
        <v>8999.3370449944669</v>
      </c>
      <c r="P275">
        <f t="shared" ca="1" si="66"/>
        <v>2316.5732099660545</v>
      </c>
      <c r="Q275">
        <f t="shared" ca="1" si="67"/>
        <v>69.399637702849816</v>
      </c>
      <c r="R275">
        <f t="shared" ca="1" si="68"/>
        <v>62.747915239317884</v>
      </c>
      <c r="S275">
        <f t="shared" ca="1" si="69"/>
        <v>119.9527284256925</v>
      </c>
      <c r="T275">
        <f t="shared" ca="1" si="70"/>
        <v>39.466886616956131</v>
      </c>
      <c r="U275">
        <f t="shared" ca="1" si="71"/>
        <v>86.915840190150575</v>
      </c>
    </row>
    <row r="276" spans="1:21" x14ac:dyDescent="0.3">
      <c r="A276" t="s">
        <v>19</v>
      </c>
      <c r="B276">
        <v>5</v>
      </c>
      <c r="C276">
        <v>451070</v>
      </c>
      <c r="D276">
        <v>521357</v>
      </c>
      <c r="E276">
        <v>491599</v>
      </c>
      <c r="F276">
        <v>461459</v>
      </c>
      <c r="G276">
        <v>451295</v>
      </c>
      <c r="H276">
        <v>451175</v>
      </c>
      <c r="I276">
        <v>451412</v>
      </c>
      <c r="J276">
        <v>451201</v>
      </c>
      <c r="K276">
        <v>451261</v>
      </c>
      <c r="L276">
        <f t="shared" ca="1" si="62"/>
        <v>451011</v>
      </c>
      <c r="M276">
        <f t="shared" ca="1" si="63"/>
        <v>13.08172084494613</v>
      </c>
      <c r="N276">
        <f t="shared" ca="1" si="64"/>
        <v>15597.402280653909</v>
      </c>
      <c r="O276">
        <f t="shared" ca="1" si="65"/>
        <v>8999.3370449944669</v>
      </c>
      <c r="P276">
        <f t="shared" ca="1" si="66"/>
        <v>2316.5732099660545</v>
      </c>
      <c r="Q276">
        <f t="shared" ca="1" si="67"/>
        <v>62.969639321435622</v>
      </c>
      <c r="R276">
        <f t="shared" ca="1" si="68"/>
        <v>36.362749467307893</v>
      </c>
      <c r="S276">
        <f t="shared" ca="1" si="69"/>
        <v>88.911356929210143</v>
      </c>
      <c r="T276">
        <f t="shared" ca="1" si="70"/>
        <v>42.1275756023689</v>
      </c>
      <c r="U276">
        <f t="shared" ca="1" si="71"/>
        <v>55.431020529432764</v>
      </c>
    </row>
    <row r="277" spans="1:21" x14ac:dyDescent="0.3">
      <c r="A277" t="s">
        <v>19</v>
      </c>
      <c r="B277">
        <v>6</v>
      </c>
      <c r="C277">
        <v>451085</v>
      </c>
      <c r="D277">
        <v>521357</v>
      </c>
      <c r="E277">
        <v>491599</v>
      </c>
      <c r="F277">
        <v>461459</v>
      </c>
      <c r="G277">
        <v>451339</v>
      </c>
      <c r="H277">
        <v>461262</v>
      </c>
      <c r="I277">
        <v>451591</v>
      </c>
      <c r="J277">
        <v>451116</v>
      </c>
      <c r="K277">
        <v>451254</v>
      </c>
      <c r="L277">
        <f t="shared" ca="1" si="62"/>
        <v>451011</v>
      </c>
      <c r="M277">
        <f t="shared" ca="1" si="63"/>
        <v>16.407582076712099</v>
      </c>
      <c r="N277">
        <f t="shared" ca="1" si="64"/>
        <v>15597.402280653909</v>
      </c>
      <c r="O277">
        <f t="shared" ca="1" si="65"/>
        <v>8999.3370449944669</v>
      </c>
      <c r="P277">
        <f t="shared" ca="1" si="66"/>
        <v>2316.5732099660545</v>
      </c>
      <c r="Q277">
        <f t="shared" ca="1" si="67"/>
        <v>72.725498934615786</v>
      </c>
      <c r="R277">
        <f t="shared" ca="1" si="68"/>
        <v>2272.893565788861</v>
      </c>
      <c r="S277">
        <f t="shared" ca="1" si="69"/>
        <v>128.59996762828402</v>
      </c>
      <c r="T277">
        <f t="shared" ca="1" si="70"/>
        <v>23.281028622361763</v>
      </c>
      <c r="U277">
        <f t="shared" ca="1" si="71"/>
        <v>53.878951954608652</v>
      </c>
    </row>
    <row r="278" spans="1:21" x14ac:dyDescent="0.3">
      <c r="A278" t="s">
        <v>19</v>
      </c>
      <c r="B278">
        <v>7</v>
      </c>
      <c r="C278">
        <v>451156</v>
      </c>
      <c r="D278">
        <v>521357</v>
      </c>
      <c r="E278">
        <v>491599</v>
      </c>
      <c r="F278">
        <v>461459</v>
      </c>
      <c r="G278">
        <v>451239</v>
      </c>
      <c r="H278">
        <v>461150</v>
      </c>
      <c r="I278">
        <v>451349</v>
      </c>
      <c r="J278">
        <v>451250</v>
      </c>
      <c r="K278">
        <v>451257</v>
      </c>
      <c r="L278">
        <f t="shared" ca="1" si="62"/>
        <v>451011</v>
      </c>
      <c r="M278">
        <f t="shared" ca="1" si="63"/>
        <v>32.149991907071005</v>
      </c>
      <c r="N278">
        <f t="shared" ca="1" si="64"/>
        <v>15597.402280653909</v>
      </c>
      <c r="O278">
        <f t="shared" ca="1" si="65"/>
        <v>8999.3370449944669</v>
      </c>
      <c r="P278">
        <f t="shared" ca="1" si="66"/>
        <v>2316.5732099660545</v>
      </c>
      <c r="Q278">
        <f t="shared" ca="1" si="67"/>
        <v>50.553090722842683</v>
      </c>
      <c r="R278">
        <f t="shared" ca="1" si="68"/>
        <v>2248.0604685916751</v>
      </c>
      <c r="S278">
        <f t="shared" ca="1" si="69"/>
        <v>74.942739755793099</v>
      </c>
      <c r="T278">
        <f t="shared" ca="1" si="70"/>
        <v>52.992055626137727</v>
      </c>
      <c r="U278">
        <f t="shared" ca="1" si="71"/>
        <v>54.544124200961846</v>
      </c>
    </row>
    <row r="279" spans="1:21" x14ac:dyDescent="0.3">
      <c r="A279" t="s">
        <v>19</v>
      </c>
      <c r="B279">
        <v>8</v>
      </c>
      <c r="C279">
        <v>451309</v>
      </c>
      <c r="D279">
        <v>521357</v>
      </c>
      <c r="E279">
        <v>491599</v>
      </c>
      <c r="F279">
        <v>461459</v>
      </c>
      <c r="G279">
        <v>451169</v>
      </c>
      <c r="H279">
        <v>461199</v>
      </c>
      <c r="I279">
        <v>451491</v>
      </c>
      <c r="J279">
        <v>451274</v>
      </c>
      <c r="K279">
        <v>451433</v>
      </c>
      <c r="L279">
        <f t="shared" ca="1" si="62"/>
        <v>451011</v>
      </c>
      <c r="M279">
        <f t="shared" ca="1" si="63"/>
        <v>66.073776471083846</v>
      </c>
      <c r="N279">
        <f t="shared" ca="1" si="64"/>
        <v>15597.402280653909</v>
      </c>
      <c r="O279">
        <f t="shared" ca="1" si="65"/>
        <v>8999.3370449944669</v>
      </c>
      <c r="P279">
        <f t="shared" ca="1" si="66"/>
        <v>2316.5732099660545</v>
      </c>
      <c r="Q279">
        <f t="shared" ca="1" si="67"/>
        <v>35.032404974601505</v>
      </c>
      <c r="R279">
        <f t="shared" ca="1" si="68"/>
        <v>2258.924948615444</v>
      </c>
      <c r="S279">
        <f t="shared" ca="1" si="69"/>
        <v>106.4275594165109</v>
      </c>
      <c r="T279">
        <f t="shared" ca="1" si="70"/>
        <v>58.313433596963272</v>
      </c>
      <c r="U279">
        <f t="shared" ca="1" si="71"/>
        <v>93.567562653682501</v>
      </c>
    </row>
    <row r="280" spans="1:21" x14ac:dyDescent="0.3">
      <c r="A280" t="s">
        <v>19</v>
      </c>
      <c r="B280">
        <v>9</v>
      </c>
      <c r="C280">
        <v>451011</v>
      </c>
      <c r="D280">
        <v>521357</v>
      </c>
      <c r="E280">
        <v>491599</v>
      </c>
      <c r="F280">
        <v>461459</v>
      </c>
      <c r="G280">
        <v>451263</v>
      </c>
      <c r="H280">
        <v>451207</v>
      </c>
      <c r="I280">
        <v>451613</v>
      </c>
      <c r="J280">
        <v>451116</v>
      </c>
      <c r="K280">
        <v>451228</v>
      </c>
      <c r="L280">
        <f t="shared" ca="1" si="62"/>
        <v>451011</v>
      </c>
      <c r="M280">
        <f t="shared" ca="1" si="63"/>
        <v>0</v>
      </c>
      <c r="N280">
        <f t="shared" ca="1" si="64"/>
        <v>15597.402280653909</v>
      </c>
      <c r="O280">
        <f t="shared" ca="1" si="65"/>
        <v>8999.3370449944669</v>
      </c>
      <c r="P280">
        <f t="shared" ca="1" si="66"/>
        <v>2316.5732099660545</v>
      </c>
      <c r="Q280">
        <f t="shared" ca="1" si="67"/>
        <v>55.874468693668227</v>
      </c>
      <c r="R280">
        <f t="shared" ca="1" si="68"/>
        <v>43.457920095075288</v>
      </c>
      <c r="S280">
        <f t="shared" ca="1" si="69"/>
        <v>133.47789743487408</v>
      </c>
      <c r="T280">
        <f t="shared" ca="1" si="70"/>
        <v>23.281028622361763</v>
      </c>
      <c r="U280">
        <f t="shared" ca="1" si="71"/>
        <v>48.114125819547638</v>
      </c>
    </row>
    <row r="281" spans="1:21" x14ac:dyDescent="0.3">
      <c r="A281" t="s">
        <v>19</v>
      </c>
      <c r="B281">
        <v>10</v>
      </c>
      <c r="C281">
        <v>451125</v>
      </c>
      <c r="D281">
        <v>521357</v>
      </c>
      <c r="E281">
        <v>491599</v>
      </c>
      <c r="F281">
        <v>461459</v>
      </c>
      <c r="G281">
        <v>451259</v>
      </c>
      <c r="H281">
        <v>461273</v>
      </c>
      <c r="I281">
        <v>451326</v>
      </c>
      <c r="J281">
        <v>451362</v>
      </c>
      <c r="K281">
        <v>451281</v>
      </c>
      <c r="L281">
        <f t="shared" ca="1" si="62"/>
        <v>451011</v>
      </c>
      <c r="M281">
        <f t="shared" ca="1" si="63"/>
        <v>25.276545361421341</v>
      </c>
      <c r="N281">
        <f t="shared" ca="1" si="64"/>
        <v>15597.402280653909</v>
      </c>
      <c r="O281">
        <f t="shared" ca="1" si="65"/>
        <v>8999.3370449944669</v>
      </c>
      <c r="P281">
        <f t="shared" ca="1" si="66"/>
        <v>2316.5732099660545</v>
      </c>
      <c r="Q281">
        <f t="shared" ca="1" si="67"/>
        <v>54.987572365197302</v>
      </c>
      <c r="R281">
        <f t="shared" ca="1" si="68"/>
        <v>2275.3325306921556</v>
      </c>
      <c r="S281">
        <f t="shared" ca="1" si="69"/>
        <v>69.843085867085279</v>
      </c>
      <c r="T281">
        <f t="shared" ca="1" si="70"/>
        <v>77.825152823323592</v>
      </c>
      <c r="U281">
        <f t="shared" ca="1" si="71"/>
        <v>59.865502171787384</v>
      </c>
    </row>
    <row r="282" spans="1:21" x14ac:dyDescent="0.3">
      <c r="A282" t="s">
        <v>74</v>
      </c>
      <c r="B282">
        <v>1</v>
      </c>
      <c r="C282">
        <v>421211</v>
      </c>
      <c r="D282">
        <v>491455</v>
      </c>
      <c r="E282">
        <v>491522</v>
      </c>
      <c r="F282">
        <v>431503</v>
      </c>
      <c r="G282">
        <v>421453</v>
      </c>
      <c r="H282">
        <v>421184</v>
      </c>
      <c r="I282">
        <v>421689</v>
      </c>
      <c r="J282">
        <v>421320</v>
      </c>
      <c r="K282">
        <v>421259</v>
      </c>
      <c r="L282">
        <f t="shared" ca="1" si="62"/>
        <v>421178</v>
      </c>
      <c r="M282">
        <f t="shared" ca="1" si="63"/>
        <v>7.8351670790022272</v>
      </c>
      <c r="N282">
        <f t="shared" ca="1" si="64"/>
        <v>16685.819297304228</v>
      </c>
      <c r="O282">
        <f t="shared" ca="1" si="65"/>
        <v>16701.727060767655</v>
      </c>
      <c r="P282">
        <f t="shared" ca="1" si="66"/>
        <v>2451.4575785060001</v>
      </c>
      <c r="Q282">
        <f t="shared" ca="1" si="67"/>
        <v>65.293058991685214</v>
      </c>
      <c r="R282">
        <f t="shared" ca="1" si="68"/>
        <v>1.4245758325458595</v>
      </c>
      <c r="S282">
        <f t="shared" ca="1" si="69"/>
        <v>121.32637507182237</v>
      </c>
      <c r="T282">
        <f t="shared" ca="1" si="70"/>
        <v>33.714961370252013</v>
      </c>
      <c r="U282">
        <f t="shared" ca="1" si="71"/>
        <v>19.231773739369103</v>
      </c>
    </row>
    <row r="283" spans="1:21" x14ac:dyDescent="0.3">
      <c r="A283" t="s">
        <v>74</v>
      </c>
      <c r="B283">
        <v>2</v>
      </c>
      <c r="C283">
        <v>421235</v>
      </c>
      <c r="D283">
        <v>491455</v>
      </c>
      <c r="E283">
        <v>491512</v>
      </c>
      <c r="F283">
        <v>431503</v>
      </c>
      <c r="G283">
        <v>421293</v>
      </c>
      <c r="H283">
        <v>421275</v>
      </c>
      <c r="I283">
        <v>421730</v>
      </c>
      <c r="J283">
        <v>421268</v>
      </c>
      <c r="K283">
        <v>421307</v>
      </c>
      <c r="L283">
        <f t="shared" ca="1" si="62"/>
        <v>421178</v>
      </c>
      <c r="M283">
        <f t="shared" ca="1" si="63"/>
        <v>13.533470409185664</v>
      </c>
      <c r="N283">
        <f t="shared" ca="1" si="64"/>
        <v>16685.819297304228</v>
      </c>
      <c r="O283">
        <f t="shared" ca="1" si="65"/>
        <v>16699.352767713415</v>
      </c>
      <c r="P283">
        <f t="shared" ca="1" si="66"/>
        <v>2451.4575785060001</v>
      </c>
      <c r="Q283">
        <f t="shared" ca="1" si="67"/>
        <v>27.304370123795643</v>
      </c>
      <c r="R283">
        <f t="shared" ca="1" si="68"/>
        <v>23.030642626158059</v>
      </c>
      <c r="S283">
        <f t="shared" ca="1" si="69"/>
        <v>131.06097659421906</v>
      </c>
      <c r="T283">
        <f t="shared" ca="1" si="70"/>
        <v>21.368637488187893</v>
      </c>
      <c r="U283">
        <f t="shared" ca="1" si="71"/>
        <v>30.628380399735981</v>
      </c>
    </row>
    <row r="284" spans="1:21" x14ac:dyDescent="0.3">
      <c r="A284" t="s">
        <v>20</v>
      </c>
      <c r="B284">
        <v>3</v>
      </c>
      <c r="C284">
        <v>421188</v>
      </c>
      <c r="D284">
        <v>491455</v>
      </c>
      <c r="E284">
        <v>491510</v>
      </c>
      <c r="F284">
        <v>431503</v>
      </c>
      <c r="G284">
        <v>421381</v>
      </c>
      <c r="H284">
        <v>421309</v>
      </c>
      <c r="I284">
        <v>421560</v>
      </c>
      <c r="J284">
        <v>421397</v>
      </c>
      <c r="K284">
        <v>421259</v>
      </c>
      <c r="L284">
        <f t="shared" ca="1" si="62"/>
        <v>421178</v>
      </c>
      <c r="M284">
        <f t="shared" ca="1" si="63"/>
        <v>2.3742930542430991</v>
      </c>
      <c r="N284">
        <f t="shared" ca="1" si="64"/>
        <v>16685.819297304228</v>
      </c>
      <c r="O284">
        <f t="shared" ca="1" si="65"/>
        <v>16698.877909102564</v>
      </c>
      <c r="P284">
        <f t="shared" ca="1" si="66"/>
        <v>2451.4575785060001</v>
      </c>
      <c r="Q284">
        <f t="shared" ca="1" si="67"/>
        <v>48.198149001134915</v>
      </c>
      <c r="R284">
        <f t="shared" ca="1" si="68"/>
        <v>31.103239010584602</v>
      </c>
      <c r="S284">
        <f t="shared" ca="1" si="69"/>
        <v>90.697994672086395</v>
      </c>
      <c r="T284">
        <f t="shared" ca="1" si="70"/>
        <v>51.997017887923874</v>
      </c>
      <c r="U284">
        <f t="shared" ca="1" si="71"/>
        <v>19.231773739369103</v>
      </c>
    </row>
    <row r="285" spans="1:21" x14ac:dyDescent="0.3">
      <c r="A285" t="s">
        <v>20</v>
      </c>
      <c r="B285">
        <v>4</v>
      </c>
      <c r="C285">
        <v>421178</v>
      </c>
      <c r="D285">
        <v>491455</v>
      </c>
      <c r="E285">
        <v>491518</v>
      </c>
      <c r="F285">
        <v>431503</v>
      </c>
      <c r="G285">
        <v>421444</v>
      </c>
      <c r="H285">
        <v>421316</v>
      </c>
      <c r="I285">
        <v>421536</v>
      </c>
      <c r="J285">
        <v>421292</v>
      </c>
      <c r="K285">
        <v>421240</v>
      </c>
      <c r="L285">
        <f t="shared" ca="1" si="62"/>
        <v>421178</v>
      </c>
      <c r="M285">
        <f t="shared" ca="1" si="63"/>
        <v>0</v>
      </c>
      <c r="N285">
        <f t="shared" ca="1" si="64"/>
        <v>16685.819297304228</v>
      </c>
      <c r="O285">
        <f t="shared" ca="1" si="65"/>
        <v>16700.777343545957</v>
      </c>
      <c r="P285">
        <f t="shared" ca="1" si="66"/>
        <v>2451.4575785060001</v>
      </c>
      <c r="Q285">
        <f t="shared" ca="1" si="67"/>
        <v>63.156195242866431</v>
      </c>
      <c r="R285">
        <f t="shared" ca="1" si="68"/>
        <v>32.765244148554764</v>
      </c>
      <c r="S285">
        <f t="shared" ca="1" si="69"/>
        <v>84.999691341902945</v>
      </c>
      <c r="T285">
        <f t="shared" ca="1" si="70"/>
        <v>27.066940818371329</v>
      </c>
      <c r="U285">
        <f t="shared" ca="1" si="71"/>
        <v>14.720616936307213</v>
      </c>
    </row>
    <row r="286" spans="1:21" x14ac:dyDescent="0.3">
      <c r="A286" t="s">
        <v>20</v>
      </c>
      <c r="B286">
        <v>5</v>
      </c>
      <c r="C286">
        <v>421335</v>
      </c>
      <c r="D286">
        <v>491455</v>
      </c>
      <c r="E286">
        <v>491510</v>
      </c>
      <c r="F286">
        <v>431503</v>
      </c>
      <c r="G286">
        <v>421259</v>
      </c>
      <c r="H286">
        <v>421439</v>
      </c>
      <c r="I286">
        <v>421683</v>
      </c>
      <c r="J286">
        <v>421412</v>
      </c>
      <c r="K286">
        <v>421447</v>
      </c>
      <c r="L286">
        <f t="shared" ca="1" si="62"/>
        <v>421178</v>
      </c>
      <c r="M286">
        <f t="shared" ca="1" si="63"/>
        <v>37.276400951616658</v>
      </c>
      <c r="N286">
        <f t="shared" ca="1" si="64"/>
        <v>16685.819297304228</v>
      </c>
      <c r="O286">
        <f t="shared" ca="1" si="65"/>
        <v>16698.877909102564</v>
      </c>
      <c r="P286">
        <f t="shared" ca="1" si="66"/>
        <v>2451.4575785060001</v>
      </c>
      <c r="Q286">
        <f t="shared" ca="1" si="67"/>
        <v>19.231773739369103</v>
      </c>
      <c r="R286">
        <f t="shared" ca="1" si="68"/>
        <v>61.969048715744876</v>
      </c>
      <c r="S286">
        <f t="shared" ca="1" si="69"/>
        <v>119.9017992392765</v>
      </c>
      <c r="T286">
        <f t="shared" ca="1" si="70"/>
        <v>55.55845746928852</v>
      </c>
      <c r="U286">
        <f t="shared" ca="1" si="71"/>
        <v>63.868483159139373</v>
      </c>
    </row>
    <row r="287" spans="1:21" x14ac:dyDescent="0.3">
      <c r="A287" t="s">
        <v>20</v>
      </c>
      <c r="B287">
        <v>6</v>
      </c>
      <c r="C287">
        <v>421246</v>
      </c>
      <c r="D287">
        <v>491455</v>
      </c>
      <c r="E287">
        <v>491510</v>
      </c>
      <c r="F287">
        <v>431503</v>
      </c>
      <c r="G287">
        <v>421419</v>
      </c>
      <c r="H287">
        <v>421248</v>
      </c>
      <c r="I287">
        <v>421706</v>
      </c>
      <c r="J287">
        <v>421320</v>
      </c>
      <c r="K287">
        <v>421317</v>
      </c>
      <c r="L287">
        <f t="shared" ca="1" si="62"/>
        <v>421178</v>
      </c>
      <c r="M287">
        <f t="shared" ca="1" si="63"/>
        <v>16.145192768853075</v>
      </c>
      <c r="N287">
        <f t="shared" ca="1" si="64"/>
        <v>16685.819297304228</v>
      </c>
      <c r="O287">
        <f t="shared" ca="1" si="65"/>
        <v>16698.877909102564</v>
      </c>
      <c r="P287">
        <f t="shared" ca="1" si="66"/>
        <v>2451.4575785060001</v>
      </c>
      <c r="Q287">
        <f t="shared" ca="1" si="67"/>
        <v>57.220462607258689</v>
      </c>
      <c r="R287">
        <f t="shared" ca="1" si="68"/>
        <v>16.620051379701692</v>
      </c>
      <c r="S287">
        <f t="shared" ca="1" si="69"/>
        <v>125.36267326403564</v>
      </c>
      <c r="T287">
        <f t="shared" ca="1" si="70"/>
        <v>33.714961370252013</v>
      </c>
      <c r="U287">
        <f t="shared" ca="1" si="71"/>
        <v>33.002673453979078</v>
      </c>
    </row>
    <row r="288" spans="1:21" x14ac:dyDescent="0.3">
      <c r="A288" t="s">
        <v>20</v>
      </c>
      <c r="B288">
        <v>7</v>
      </c>
      <c r="C288">
        <v>421297</v>
      </c>
      <c r="D288">
        <v>491455</v>
      </c>
      <c r="E288">
        <v>491510</v>
      </c>
      <c r="F288">
        <v>431503</v>
      </c>
      <c r="G288">
        <v>421286</v>
      </c>
      <c r="H288">
        <v>421235</v>
      </c>
      <c r="I288">
        <v>421761</v>
      </c>
      <c r="J288">
        <v>421310</v>
      </c>
      <c r="K288">
        <v>421340</v>
      </c>
      <c r="L288">
        <f t="shared" ca="1" si="62"/>
        <v>421178</v>
      </c>
      <c r="M288">
        <f t="shared" ca="1" si="63"/>
        <v>28.254087345492877</v>
      </c>
      <c r="N288">
        <f t="shared" ca="1" si="64"/>
        <v>16685.819297304228</v>
      </c>
      <c r="O288">
        <f t="shared" ca="1" si="65"/>
        <v>16698.877909102564</v>
      </c>
      <c r="P288">
        <f t="shared" ca="1" si="66"/>
        <v>2451.4575785060001</v>
      </c>
      <c r="Q288">
        <f t="shared" ca="1" si="67"/>
        <v>25.64236498582547</v>
      </c>
      <c r="R288">
        <f t="shared" ca="1" si="68"/>
        <v>13.533470409185664</v>
      </c>
      <c r="S288">
        <f t="shared" ca="1" si="69"/>
        <v>138.42128506237268</v>
      </c>
      <c r="T288">
        <f t="shared" ca="1" si="70"/>
        <v>31.340668316008909</v>
      </c>
      <c r="U288">
        <f t="shared" ca="1" si="71"/>
        <v>38.463547478738207</v>
      </c>
    </row>
    <row r="289" spans="1:21" x14ac:dyDescent="0.3">
      <c r="A289" t="s">
        <v>20</v>
      </c>
      <c r="B289">
        <v>8</v>
      </c>
      <c r="C289">
        <v>421258</v>
      </c>
      <c r="D289">
        <v>491455</v>
      </c>
      <c r="E289">
        <v>491510</v>
      </c>
      <c r="F289">
        <v>431503</v>
      </c>
      <c r="G289">
        <v>421361</v>
      </c>
      <c r="H289">
        <v>421428</v>
      </c>
      <c r="I289">
        <v>421549</v>
      </c>
      <c r="J289">
        <v>421256</v>
      </c>
      <c r="K289">
        <v>421301</v>
      </c>
      <c r="L289">
        <f t="shared" ca="1" si="62"/>
        <v>421178</v>
      </c>
      <c r="M289">
        <f t="shared" ca="1" si="63"/>
        <v>18.994344433944793</v>
      </c>
      <c r="N289">
        <f t="shared" ca="1" si="64"/>
        <v>16685.819297304228</v>
      </c>
      <c r="O289">
        <f t="shared" ca="1" si="65"/>
        <v>16698.877909102564</v>
      </c>
      <c r="P289">
        <f t="shared" ca="1" si="66"/>
        <v>2451.4575785060001</v>
      </c>
      <c r="Q289">
        <f t="shared" ca="1" si="67"/>
        <v>43.449562892648714</v>
      </c>
      <c r="R289">
        <f t="shared" ca="1" si="68"/>
        <v>59.357326356077472</v>
      </c>
      <c r="S289">
        <f t="shared" ca="1" si="69"/>
        <v>88.086272312418984</v>
      </c>
      <c r="T289">
        <f t="shared" ca="1" si="70"/>
        <v>18.519485823096172</v>
      </c>
      <c r="U289">
        <f t="shared" ca="1" si="71"/>
        <v>29.203804567190122</v>
      </c>
    </row>
    <row r="290" spans="1:21" x14ac:dyDescent="0.3">
      <c r="A290" t="s">
        <v>20</v>
      </c>
      <c r="B290">
        <v>9</v>
      </c>
      <c r="C290">
        <v>421291</v>
      </c>
      <c r="D290">
        <v>491455</v>
      </c>
      <c r="E290">
        <v>491510</v>
      </c>
      <c r="F290">
        <v>431503</v>
      </c>
      <c r="G290">
        <v>421547</v>
      </c>
      <c r="H290">
        <v>421308</v>
      </c>
      <c r="I290">
        <v>421607</v>
      </c>
      <c r="J290">
        <v>421425</v>
      </c>
      <c r="K290">
        <v>421339</v>
      </c>
      <c r="L290">
        <f t="shared" ca="1" si="62"/>
        <v>421178</v>
      </c>
      <c r="M290">
        <f t="shared" ca="1" si="63"/>
        <v>26.829511512947018</v>
      </c>
      <c r="N290">
        <f t="shared" ca="1" si="64"/>
        <v>16685.819297304228</v>
      </c>
      <c r="O290">
        <f t="shared" ca="1" si="65"/>
        <v>16698.877909102564</v>
      </c>
      <c r="P290">
        <f t="shared" ca="1" si="66"/>
        <v>2451.4575785060001</v>
      </c>
      <c r="Q290">
        <f t="shared" ca="1" si="67"/>
        <v>87.611413701570356</v>
      </c>
      <c r="R290">
        <f t="shared" ca="1" si="68"/>
        <v>30.865809705160288</v>
      </c>
      <c r="S290">
        <f t="shared" ca="1" si="69"/>
        <v>101.85717202702895</v>
      </c>
      <c r="T290">
        <f t="shared" ca="1" si="70"/>
        <v>58.645038439804551</v>
      </c>
      <c r="U290">
        <f t="shared" ca="1" si="71"/>
        <v>38.226118173313893</v>
      </c>
    </row>
    <row r="291" spans="1:21" x14ac:dyDescent="0.3">
      <c r="A291" t="s">
        <v>20</v>
      </c>
      <c r="B291">
        <v>10</v>
      </c>
      <c r="C291">
        <v>421309</v>
      </c>
      <c r="D291">
        <v>491455</v>
      </c>
      <c r="E291">
        <v>491510</v>
      </c>
      <c r="F291">
        <v>431503</v>
      </c>
      <c r="G291">
        <v>421436</v>
      </c>
      <c r="H291">
        <v>421218</v>
      </c>
      <c r="I291">
        <v>421830</v>
      </c>
      <c r="J291">
        <v>421266</v>
      </c>
      <c r="K291">
        <v>421314</v>
      </c>
      <c r="L291">
        <f t="shared" ca="1" si="62"/>
        <v>421178</v>
      </c>
      <c r="M291">
        <f t="shared" ca="1" si="63"/>
        <v>31.103239010584602</v>
      </c>
      <c r="N291">
        <f t="shared" ca="1" si="64"/>
        <v>16685.819297304228</v>
      </c>
      <c r="O291">
        <f t="shared" ca="1" si="65"/>
        <v>16698.877909102564</v>
      </c>
      <c r="P291">
        <f t="shared" ca="1" si="66"/>
        <v>2451.4575785060001</v>
      </c>
      <c r="Q291">
        <f t="shared" ca="1" si="67"/>
        <v>61.256760799471962</v>
      </c>
      <c r="R291">
        <f t="shared" ca="1" si="68"/>
        <v>9.4971722169723964</v>
      </c>
      <c r="S291">
        <f t="shared" ca="1" si="69"/>
        <v>154.80390713665005</v>
      </c>
      <c r="T291">
        <f t="shared" ca="1" si="70"/>
        <v>20.893778877339273</v>
      </c>
      <c r="U291">
        <f t="shared" ca="1" si="71"/>
        <v>32.29038553770615</v>
      </c>
    </row>
    <row r="292" spans="1:21" x14ac:dyDescent="0.3">
      <c r="A292" t="s">
        <v>75</v>
      </c>
      <c r="B292">
        <v>1</v>
      </c>
      <c r="C292">
        <v>371488</v>
      </c>
      <c r="D292">
        <v>411740</v>
      </c>
      <c r="E292">
        <v>422235</v>
      </c>
      <c r="F292">
        <v>381805</v>
      </c>
      <c r="G292">
        <v>371685</v>
      </c>
      <c r="H292">
        <v>371549</v>
      </c>
      <c r="I292">
        <v>371759</v>
      </c>
      <c r="J292">
        <v>371478</v>
      </c>
      <c r="K292">
        <v>371520</v>
      </c>
      <c r="L292">
        <f t="shared" ca="1" si="62"/>
        <v>371390</v>
      </c>
      <c r="M292">
        <f t="shared" ca="1" si="63"/>
        <v>26.387355610005656</v>
      </c>
      <c r="N292">
        <f t="shared" ca="1" si="64"/>
        <v>10864.589784323756</v>
      </c>
      <c r="O292">
        <f t="shared" ca="1" si="65"/>
        <v>13690.460163170788</v>
      </c>
      <c r="P292">
        <f t="shared" ca="1" si="66"/>
        <v>2804.3296803898866</v>
      </c>
      <c r="Q292">
        <f t="shared" ca="1" si="67"/>
        <v>79.43132556073131</v>
      </c>
      <c r="R292">
        <f t="shared" ca="1" si="68"/>
        <v>42.812138183580601</v>
      </c>
      <c r="S292">
        <f t="shared" ca="1" si="69"/>
        <v>99.356471633592719</v>
      </c>
      <c r="T292">
        <f t="shared" ca="1" si="70"/>
        <v>23.694768302862219</v>
      </c>
      <c r="U292">
        <f t="shared" ca="1" si="71"/>
        <v>35.00363499286464</v>
      </c>
    </row>
    <row r="293" spans="1:21" x14ac:dyDescent="0.3">
      <c r="A293" t="s">
        <v>75</v>
      </c>
      <c r="B293">
        <v>2</v>
      </c>
      <c r="C293">
        <v>371457</v>
      </c>
      <c r="D293">
        <v>411740</v>
      </c>
      <c r="E293">
        <v>422235</v>
      </c>
      <c r="F293">
        <v>381805</v>
      </c>
      <c r="G293">
        <v>381392</v>
      </c>
      <c r="H293">
        <v>371530</v>
      </c>
      <c r="I293">
        <v>371941</v>
      </c>
      <c r="J293">
        <v>371501</v>
      </c>
      <c r="K293">
        <v>371516</v>
      </c>
      <c r="L293">
        <f t="shared" ca="1" si="62"/>
        <v>371390</v>
      </c>
      <c r="M293">
        <f t="shared" ca="1" si="63"/>
        <v>18.040334957861006</v>
      </c>
      <c r="N293">
        <f t="shared" ca="1" si="64"/>
        <v>10864.589784323756</v>
      </c>
      <c r="O293">
        <f t="shared" ca="1" si="65"/>
        <v>13690.460163170788</v>
      </c>
      <c r="P293">
        <f t="shared" ca="1" si="66"/>
        <v>2804.3296803898866</v>
      </c>
      <c r="Q293">
        <f t="shared" ca="1" si="67"/>
        <v>2693.1258246048628</v>
      </c>
      <c r="R293">
        <f t="shared" ca="1" si="68"/>
        <v>37.696222300008081</v>
      </c>
      <c r="S293">
        <f t="shared" ca="1" si="69"/>
        <v>148.36156062360322</v>
      </c>
      <c r="T293">
        <f t="shared" ca="1" si="70"/>
        <v>29.887719109292117</v>
      </c>
      <c r="U293">
        <f t="shared" ca="1" si="71"/>
        <v>33.926600070007275</v>
      </c>
    </row>
    <row r="294" spans="1:21" x14ac:dyDescent="0.3">
      <c r="A294" t="s">
        <v>21</v>
      </c>
      <c r="B294">
        <v>3</v>
      </c>
      <c r="C294">
        <v>371432</v>
      </c>
      <c r="D294">
        <v>411740</v>
      </c>
      <c r="E294">
        <v>422235</v>
      </c>
      <c r="F294">
        <v>381805</v>
      </c>
      <c r="G294">
        <v>371531</v>
      </c>
      <c r="H294">
        <v>371468</v>
      </c>
      <c r="I294">
        <v>372123</v>
      </c>
      <c r="J294">
        <v>371505</v>
      </c>
      <c r="K294">
        <v>371469</v>
      </c>
      <c r="L294">
        <f t="shared" ca="1" si="62"/>
        <v>371390</v>
      </c>
      <c r="M294">
        <f t="shared" ca="1" si="63"/>
        <v>11.308866690002422</v>
      </c>
      <c r="N294">
        <f t="shared" ca="1" si="64"/>
        <v>10864.589784323756</v>
      </c>
      <c r="O294">
        <f t="shared" ca="1" si="65"/>
        <v>13690.460163170788</v>
      </c>
      <c r="P294">
        <f t="shared" ca="1" si="66"/>
        <v>2804.3296803898866</v>
      </c>
      <c r="Q294">
        <f t="shared" ca="1" si="67"/>
        <v>37.965481030722422</v>
      </c>
      <c r="R294">
        <f t="shared" ca="1" si="68"/>
        <v>21.002180995718788</v>
      </c>
      <c r="S294">
        <f t="shared" ca="1" si="69"/>
        <v>197.36664961361373</v>
      </c>
      <c r="T294">
        <f t="shared" ca="1" si="70"/>
        <v>30.964754032149493</v>
      </c>
      <c r="U294">
        <f t="shared" ca="1" si="71"/>
        <v>21.27143972643313</v>
      </c>
    </row>
    <row r="295" spans="1:21" x14ac:dyDescent="0.3">
      <c r="A295" t="s">
        <v>21</v>
      </c>
      <c r="B295">
        <v>4</v>
      </c>
      <c r="C295">
        <v>371499</v>
      </c>
      <c r="D295">
        <v>411740</v>
      </c>
      <c r="E295">
        <v>422235</v>
      </c>
      <c r="F295">
        <v>381805</v>
      </c>
      <c r="G295">
        <v>371598</v>
      </c>
      <c r="H295">
        <v>381535</v>
      </c>
      <c r="I295">
        <v>371957</v>
      </c>
      <c r="J295">
        <v>371433</v>
      </c>
      <c r="K295">
        <v>371537</v>
      </c>
      <c r="L295">
        <f t="shared" ca="1" si="62"/>
        <v>371390</v>
      </c>
      <c r="M295">
        <f t="shared" ca="1" si="63"/>
        <v>29.349201647863435</v>
      </c>
      <c r="N295">
        <f t="shared" ca="1" si="64"/>
        <v>10864.589784323756</v>
      </c>
      <c r="O295">
        <f t="shared" ca="1" si="65"/>
        <v>13690.460163170788</v>
      </c>
      <c r="P295">
        <f t="shared" ca="1" si="66"/>
        <v>2804.3296803898866</v>
      </c>
      <c r="Q295">
        <f t="shared" ca="1" si="67"/>
        <v>56.005815988583429</v>
      </c>
      <c r="R295">
        <f t="shared" ca="1" si="68"/>
        <v>2731.6298230970137</v>
      </c>
      <c r="S295">
        <f t="shared" ca="1" si="69"/>
        <v>152.66970031503271</v>
      </c>
      <c r="T295">
        <f t="shared" ca="1" si="70"/>
        <v>11.578125420716766</v>
      </c>
      <c r="U295">
        <f t="shared" ca="1" si="71"/>
        <v>39.581033415008477</v>
      </c>
    </row>
    <row r="296" spans="1:21" x14ac:dyDescent="0.3">
      <c r="A296" t="s">
        <v>21</v>
      </c>
      <c r="B296">
        <v>5</v>
      </c>
      <c r="C296">
        <v>371459</v>
      </c>
      <c r="D296">
        <v>411740</v>
      </c>
      <c r="E296">
        <v>422235</v>
      </c>
      <c r="F296">
        <v>381805</v>
      </c>
      <c r="G296">
        <v>371702</v>
      </c>
      <c r="H296">
        <v>371484</v>
      </c>
      <c r="I296">
        <v>371776</v>
      </c>
      <c r="J296">
        <v>371432</v>
      </c>
      <c r="K296">
        <v>371498</v>
      </c>
      <c r="L296">
        <f t="shared" ca="1" si="62"/>
        <v>371390</v>
      </c>
      <c r="M296">
        <f t="shared" ca="1" si="63"/>
        <v>18.578852419289696</v>
      </c>
      <c r="N296">
        <f t="shared" ca="1" si="64"/>
        <v>10864.589784323756</v>
      </c>
      <c r="O296">
        <f t="shared" ca="1" si="65"/>
        <v>13690.460163170788</v>
      </c>
      <c r="P296">
        <f t="shared" ca="1" si="66"/>
        <v>2804.3296803898866</v>
      </c>
      <c r="Q296">
        <f t="shared" ca="1" si="67"/>
        <v>84.008723982875154</v>
      </c>
      <c r="R296">
        <f t="shared" ca="1" si="68"/>
        <v>25.31032068714828</v>
      </c>
      <c r="S296">
        <f t="shared" ca="1" si="69"/>
        <v>103.93387005573655</v>
      </c>
      <c r="T296">
        <f t="shared" ca="1" si="70"/>
        <v>11.308866690002422</v>
      </c>
      <c r="U296">
        <f t="shared" ca="1" si="71"/>
        <v>29.07994291714909</v>
      </c>
    </row>
    <row r="297" spans="1:21" x14ac:dyDescent="0.3">
      <c r="A297" t="s">
        <v>21</v>
      </c>
      <c r="B297">
        <v>6</v>
      </c>
      <c r="C297">
        <v>371390</v>
      </c>
      <c r="D297">
        <v>411740</v>
      </c>
      <c r="E297">
        <v>422235</v>
      </c>
      <c r="F297">
        <v>381805</v>
      </c>
      <c r="G297">
        <v>381628</v>
      </c>
      <c r="H297">
        <v>371462</v>
      </c>
      <c r="I297">
        <v>372001</v>
      </c>
      <c r="J297">
        <v>371560</v>
      </c>
      <c r="K297">
        <v>371408</v>
      </c>
      <c r="L297">
        <f t="shared" ca="1" si="62"/>
        <v>371390</v>
      </c>
      <c r="M297">
        <f t="shared" ca="1" si="63"/>
        <v>0</v>
      </c>
      <c r="N297">
        <f t="shared" ca="1" si="64"/>
        <v>10864.589784323756</v>
      </c>
      <c r="O297">
        <f t="shared" ca="1" si="65"/>
        <v>13690.460163170788</v>
      </c>
      <c r="P297">
        <f t="shared" ca="1" si="66"/>
        <v>2804.3296803898866</v>
      </c>
      <c r="Q297">
        <f t="shared" ca="1" si="67"/>
        <v>2756.6708850534478</v>
      </c>
      <c r="R297">
        <f t="shared" ca="1" si="68"/>
        <v>19.386628611432723</v>
      </c>
      <c r="S297">
        <f t="shared" ca="1" si="69"/>
        <v>164.51708446646381</v>
      </c>
      <c r="T297">
        <f t="shared" ca="1" si="70"/>
        <v>45.773984221438383</v>
      </c>
      <c r="U297">
        <f t="shared" ca="1" si="71"/>
        <v>4.8466571528581808</v>
      </c>
    </row>
    <row r="298" spans="1:21" x14ac:dyDescent="0.3">
      <c r="A298" t="s">
        <v>21</v>
      </c>
      <c r="B298">
        <v>7</v>
      </c>
      <c r="C298">
        <v>371472</v>
      </c>
      <c r="D298">
        <v>411740</v>
      </c>
      <c r="E298">
        <v>422235</v>
      </c>
      <c r="F298">
        <v>381805</v>
      </c>
      <c r="G298">
        <v>371649</v>
      </c>
      <c r="H298">
        <v>371433</v>
      </c>
      <c r="I298">
        <v>371986</v>
      </c>
      <c r="J298">
        <v>371522</v>
      </c>
      <c r="K298">
        <v>371512</v>
      </c>
      <c r="L298">
        <f t="shared" ca="1" si="62"/>
        <v>371390</v>
      </c>
      <c r="M298">
        <f t="shared" ca="1" si="63"/>
        <v>22.079215918576161</v>
      </c>
      <c r="N298">
        <f t="shared" ca="1" si="64"/>
        <v>10864.589784323756</v>
      </c>
      <c r="O298">
        <f t="shared" ca="1" si="65"/>
        <v>13690.460163170788</v>
      </c>
      <c r="P298">
        <f t="shared" ca="1" si="66"/>
        <v>2804.3296803898866</v>
      </c>
      <c r="Q298">
        <f t="shared" ca="1" si="67"/>
        <v>69.738011255014939</v>
      </c>
      <c r="R298">
        <f t="shared" ca="1" si="68"/>
        <v>11.578125420716766</v>
      </c>
      <c r="S298">
        <f t="shared" ca="1" si="69"/>
        <v>160.47820350574867</v>
      </c>
      <c r="T298">
        <f t="shared" ca="1" si="70"/>
        <v>35.54215245429333</v>
      </c>
      <c r="U298">
        <f t="shared" ca="1" si="71"/>
        <v>32.849565147149903</v>
      </c>
    </row>
    <row r="299" spans="1:21" x14ac:dyDescent="0.3">
      <c r="A299" t="s">
        <v>21</v>
      </c>
      <c r="B299">
        <v>8</v>
      </c>
      <c r="C299">
        <v>371459</v>
      </c>
      <c r="D299">
        <v>411740</v>
      </c>
      <c r="E299">
        <v>422235</v>
      </c>
      <c r="F299">
        <v>381805</v>
      </c>
      <c r="G299">
        <v>371765</v>
      </c>
      <c r="H299">
        <v>371604</v>
      </c>
      <c r="I299">
        <v>371708</v>
      </c>
      <c r="J299">
        <v>371436</v>
      </c>
      <c r="K299">
        <v>371535</v>
      </c>
      <c r="L299">
        <f t="shared" ca="1" si="62"/>
        <v>371390</v>
      </c>
      <c r="M299">
        <f t="shared" ca="1" si="63"/>
        <v>18.578852419289696</v>
      </c>
      <c r="N299">
        <f t="shared" ca="1" si="64"/>
        <v>10864.589784323756</v>
      </c>
      <c r="O299">
        <f t="shared" ca="1" si="65"/>
        <v>13690.460163170788</v>
      </c>
      <c r="P299">
        <f t="shared" ca="1" si="66"/>
        <v>2804.3296803898866</v>
      </c>
      <c r="Q299">
        <f t="shared" ca="1" si="67"/>
        <v>100.97202401787879</v>
      </c>
      <c r="R299">
        <f t="shared" ca="1" si="68"/>
        <v>57.621368372869483</v>
      </c>
      <c r="S299">
        <f t="shared" ca="1" si="69"/>
        <v>85.624276367161201</v>
      </c>
      <c r="T299">
        <f t="shared" ca="1" si="70"/>
        <v>12.385901612859797</v>
      </c>
      <c r="U299">
        <f t="shared" ca="1" si="71"/>
        <v>39.042515953579795</v>
      </c>
    </row>
    <row r="300" spans="1:21" x14ac:dyDescent="0.3">
      <c r="A300" t="s">
        <v>21</v>
      </c>
      <c r="B300">
        <v>9</v>
      </c>
      <c r="C300">
        <v>371407</v>
      </c>
      <c r="D300">
        <v>411740</v>
      </c>
      <c r="E300">
        <v>422235</v>
      </c>
      <c r="F300">
        <v>381805</v>
      </c>
      <c r="G300">
        <v>381538</v>
      </c>
      <c r="H300">
        <v>371564</v>
      </c>
      <c r="I300">
        <v>371891</v>
      </c>
      <c r="J300">
        <v>371467</v>
      </c>
      <c r="K300">
        <v>371457</v>
      </c>
      <c r="L300">
        <f t="shared" ca="1" si="62"/>
        <v>371390</v>
      </c>
      <c r="M300">
        <f t="shared" ca="1" si="63"/>
        <v>4.5773984221438377</v>
      </c>
      <c r="N300">
        <f t="shared" ca="1" si="64"/>
        <v>10864.589784323756</v>
      </c>
      <c r="O300">
        <f t="shared" ca="1" si="65"/>
        <v>13690.460163170788</v>
      </c>
      <c r="P300">
        <f t="shared" ca="1" si="66"/>
        <v>2804.3296803898866</v>
      </c>
      <c r="Q300">
        <f t="shared" ca="1" si="67"/>
        <v>2732.4375992891569</v>
      </c>
      <c r="R300">
        <f t="shared" ca="1" si="68"/>
        <v>46.851019144295748</v>
      </c>
      <c r="S300">
        <f t="shared" ca="1" si="69"/>
        <v>134.89862408788605</v>
      </c>
      <c r="T300">
        <f t="shared" ca="1" si="70"/>
        <v>20.732922265004444</v>
      </c>
      <c r="U300">
        <f t="shared" ca="1" si="71"/>
        <v>18.040334957861006</v>
      </c>
    </row>
    <row r="301" spans="1:21" x14ac:dyDescent="0.3">
      <c r="A301" t="s">
        <v>21</v>
      </c>
      <c r="B301">
        <v>10</v>
      </c>
      <c r="C301">
        <v>371430</v>
      </c>
      <c r="D301">
        <v>411740</v>
      </c>
      <c r="E301">
        <v>422235</v>
      </c>
      <c r="F301">
        <v>381805</v>
      </c>
      <c r="G301">
        <v>381439</v>
      </c>
      <c r="H301">
        <v>371490</v>
      </c>
      <c r="I301">
        <v>371910</v>
      </c>
      <c r="J301">
        <v>371470</v>
      </c>
      <c r="K301">
        <v>371477</v>
      </c>
      <c r="L301">
        <f t="shared" ca="1" si="62"/>
        <v>371390</v>
      </c>
      <c r="M301">
        <f t="shared" ca="1" si="63"/>
        <v>10.770349228573737</v>
      </c>
      <c r="N301">
        <f t="shared" ca="1" si="64"/>
        <v>10864.589784323756</v>
      </c>
      <c r="O301">
        <f t="shared" ca="1" si="65"/>
        <v>13690.460163170788</v>
      </c>
      <c r="P301">
        <f t="shared" ca="1" si="66"/>
        <v>2804.3296803898866</v>
      </c>
      <c r="Q301">
        <f t="shared" ca="1" si="67"/>
        <v>2705.780984948437</v>
      </c>
      <c r="R301">
        <f t="shared" ca="1" si="68"/>
        <v>26.925873071434342</v>
      </c>
      <c r="S301">
        <f t="shared" ca="1" si="69"/>
        <v>140.01453997145856</v>
      </c>
      <c r="T301">
        <f t="shared" ca="1" si="70"/>
        <v>21.540698457147474</v>
      </c>
      <c r="U301">
        <f t="shared" ca="1" si="71"/>
        <v>23.425509572147874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B152-6B01-4B47-B44A-15A9A9F8C6F5}">
  <dimension ref="C1:U37"/>
  <sheetViews>
    <sheetView tabSelected="1" topLeftCell="D1" workbookViewId="0">
      <selection activeCell="P11" sqref="P11"/>
    </sheetView>
  </sheetViews>
  <sheetFormatPr defaultRowHeight="16.5" x14ac:dyDescent="0.3"/>
  <sheetData>
    <row r="1" spans="3:21" x14ac:dyDescent="0.3">
      <c r="D1" t="s">
        <v>40</v>
      </c>
      <c r="E1" t="s">
        <v>41</v>
      </c>
      <c r="F1" t="s">
        <v>42</v>
      </c>
      <c r="G1" t="s">
        <v>38</v>
      </c>
      <c r="H1" t="s">
        <v>39</v>
      </c>
      <c r="I1" t="s">
        <v>35</v>
      </c>
      <c r="J1" t="s">
        <v>36</v>
      </c>
      <c r="K1" t="s">
        <v>37</v>
      </c>
      <c r="L1" t="s">
        <v>34</v>
      </c>
      <c r="N1" t="s">
        <v>41</v>
      </c>
      <c r="O1" t="s">
        <v>42</v>
      </c>
      <c r="P1" t="s">
        <v>38</v>
      </c>
      <c r="Q1" t="s">
        <v>39</v>
      </c>
      <c r="R1" t="s">
        <v>35</v>
      </c>
      <c r="S1" t="s">
        <v>36</v>
      </c>
      <c r="T1" t="s">
        <v>37</v>
      </c>
      <c r="U1" t="s">
        <v>34</v>
      </c>
    </row>
    <row r="2" spans="3:21" x14ac:dyDescent="0.3">
      <c r="C2" t="s">
        <v>0</v>
      </c>
      <c r="D2">
        <v>10.731759999999998</v>
      </c>
      <c r="E2">
        <v>10.671479999999999</v>
      </c>
      <c r="F2">
        <v>3.0455800000000002</v>
      </c>
      <c r="G2">
        <v>10.940729999999999</v>
      </c>
      <c r="H2">
        <v>9.3067600000000006</v>
      </c>
      <c r="I2">
        <v>5.2900299999999998</v>
      </c>
      <c r="J2">
        <v>4.8627699999999994</v>
      </c>
      <c r="K2">
        <v>4.7861200000000004</v>
      </c>
      <c r="L2">
        <v>5.4105200000000009</v>
      </c>
      <c r="N2">
        <f>ROUND(E2,3)</f>
        <v>10.670999999999999</v>
      </c>
      <c r="O2">
        <f t="shared" ref="O2:U2" si="0">ROUND(F2,3)</f>
        <v>3.0459999999999998</v>
      </c>
      <c r="P2">
        <f t="shared" si="0"/>
        <v>10.941000000000001</v>
      </c>
      <c r="Q2">
        <f t="shared" si="0"/>
        <v>9.3070000000000004</v>
      </c>
      <c r="R2">
        <f t="shared" si="0"/>
        <v>5.29</v>
      </c>
      <c r="S2">
        <f t="shared" si="0"/>
        <v>4.8630000000000004</v>
      </c>
      <c r="T2">
        <f t="shared" si="0"/>
        <v>4.7859999999999996</v>
      </c>
      <c r="U2">
        <f t="shared" si="0"/>
        <v>5.4109999999999996</v>
      </c>
    </row>
    <row r="3" spans="3:21" x14ac:dyDescent="0.3">
      <c r="C3" t="s">
        <v>2</v>
      </c>
      <c r="D3">
        <v>0.77954999999999997</v>
      </c>
      <c r="E3">
        <v>1.7490199999999998</v>
      </c>
      <c r="F3">
        <v>0.75761999999999996</v>
      </c>
      <c r="G3">
        <v>9.5409100000000002</v>
      </c>
      <c r="H3">
        <v>8.2742000000000022</v>
      </c>
      <c r="I3">
        <v>5.9573200000000002</v>
      </c>
      <c r="J3">
        <v>6.0480999999999998</v>
      </c>
      <c r="K3">
        <v>5.6299200000000003</v>
      </c>
      <c r="L3">
        <v>5.5602999999999998</v>
      </c>
      <c r="N3">
        <f t="shared" ref="N3:N37" si="1">ROUND(E3,3)</f>
        <v>1.7490000000000001</v>
      </c>
      <c r="O3">
        <f t="shared" ref="O3:O37" si="2">ROUND(F3,3)</f>
        <v>0.75800000000000001</v>
      </c>
      <c r="P3">
        <f t="shared" ref="P3:P37" si="3">ROUND(G3,3)</f>
        <v>9.5410000000000004</v>
      </c>
      <c r="Q3">
        <f t="shared" ref="Q3:Q37" si="4">ROUND(H3,3)</f>
        <v>8.2739999999999991</v>
      </c>
      <c r="R3">
        <f t="shared" ref="R3:R37" si="5">ROUND(I3,3)</f>
        <v>5.9569999999999999</v>
      </c>
      <c r="S3">
        <f t="shared" ref="S3:S37" si="6">ROUND(J3,3)</f>
        <v>6.048</v>
      </c>
      <c r="T3">
        <f t="shared" ref="T3:T37" si="7">ROUND(K3,3)</f>
        <v>5.63</v>
      </c>
      <c r="U3">
        <f t="shared" ref="U3:U37" si="8">ROUND(L3,3)</f>
        <v>5.56</v>
      </c>
    </row>
    <row r="4" spans="3:21" x14ac:dyDescent="0.3">
      <c r="C4" t="s">
        <v>3</v>
      </c>
      <c r="D4">
        <v>10.996969999999999</v>
      </c>
      <c r="E4">
        <v>10.95309</v>
      </c>
      <c r="F4">
        <v>4.6398799999999998</v>
      </c>
      <c r="G4">
        <v>16.755649999999999</v>
      </c>
      <c r="H4">
        <v>14.43407</v>
      </c>
      <c r="I4">
        <v>6.9236599999999999</v>
      </c>
      <c r="J4">
        <v>6.8634399999999998</v>
      </c>
      <c r="K4">
        <v>6.273299999999999</v>
      </c>
      <c r="L4">
        <v>9.4592299999999998</v>
      </c>
      <c r="N4">
        <f t="shared" si="1"/>
        <v>10.952999999999999</v>
      </c>
      <c r="O4">
        <f t="shared" si="2"/>
        <v>4.6399999999999997</v>
      </c>
      <c r="P4">
        <f t="shared" si="3"/>
        <v>16.756</v>
      </c>
      <c r="Q4">
        <f t="shared" si="4"/>
        <v>14.433999999999999</v>
      </c>
      <c r="R4">
        <f t="shared" si="5"/>
        <v>6.9240000000000004</v>
      </c>
      <c r="S4">
        <f t="shared" si="6"/>
        <v>6.8630000000000004</v>
      </c>
      <c r="T4">
        <f t="shared" si="7"/>
        <v>6.2729999999999997</v>
      </c>
      <c r="U4">
        <f t="shared" si="8"/>
        <v>9.4589999999999996</v>
      </c>
    </row>
    <row r="5" spans="3:21" x14ac:dyDescent="0.3">
      <c r="C5" t="s">
        <v>4</v>
      </c>
      <c r="D5">
        <v>11.188059999999997</v>
      </c>
      <c r="E5">
        <v>10.07016</v>
      </c>
      <c r="F5">
        <v>10.947299999999997</v>
      </c>
      <c r="G5">
        <v>27.844370000000005</v>
      </c>
      <c r="H5">
        <v>33.049490000000006</v>
      </c>
      <c r="I5">
        <v>6.8024999999999993</v>
      </c>
      <c r="J5">
        <v>5.7804200000000012</v>
      </c>
      <c r="K5">
        <v>6.3389799999999994</v>
      </c>
      <c r="L5">
        <v>12.966450000000004</v>
      </c>
      <c r="N5">
        <f t="shared" si="1"/>
        <v>10.07</v>
      </c>
      <c r="O5">
        <f t="shared" si="2"/>
        <v>10.946999999999999</v>
      </c>
      <c r="P5">
        <f t="shared" si="3"/>
        <v>27.844000000000001</v>
      </c>
      <c r="Q5">
        <f t="shared" si="4"/>
        <v>33.048999999999999</v>
      </c>
      <c r="R5">
        <f t="shared" si="5"/>
        <v>6.8029999999999999</v>
      </c>
      <c r="S5">
        <f t="shared" si="6"/>
        <v>5.78</v>
      </c>
      <c r="T5">
        <f t="shared" si="7"/>
        <v>6.3390000000000004</v>
      </c>
      <c r="U5">
        <f t="shared" si="8"/>
        <v>12.965999999999999</v>
      </c>
    </row>
    <row r="6" spans="3:21" x14ac:dyDescent="0.3">
      <c r="C6" t="s">
        <v>5</v>
      </c>
      <c r="D6">
        <v>0.54644000000000004</v>
      </c>
      <c r="E6">
        <v>0.50958999999999999</v>
      </c>
      <c r="F6">
        <v>0.8622700000000002</v>
      </c>
      <c r="G6">
        <v>16.004799999999999</v>
      </c>
      <c r="H6">
        <v>23.48114</v>
      </c>
      <c r="I6">
        <v>5.3666300000000007</v>
      </c>
      <c r="J6">
        <v>4.8649700000000005</v>
      </c>
      <c r="K6">
        <v>4.6086600000000004</v>
      </c>
      <c r="L6">
        <v>4.3339499999999997</v>
      </c>
      <c r="N6">
        <f t="shared" si="1"/>
        <v>0.51</v>
      </c>
      <c r="O6">
        <f t="shared" si="2"/>
        <v>0.86199999999999999</v>
      </c>
      <c r="P6">
        <f t="shared" si="3"/>
        <v>16.004999999999999</v>
      </c>
      <c r="Q6">
        <f t="shared" si="4"/>
        <v>23.481000000000002</v>
      </c>
      <c r="R6">
        <f t="shared" si="5"/>
        <v>5.367</v>
      </c>
      <c r="S6">
        <f t="shared" si="6"/>
        <v>4.8650000000000002</v>
      </c>
      <c r="T6">
        <f t="shared" si="7"/>
        <v>4.609</v>
      </c>
      <c r="U6">
        <f t="shared" si="8"/>
        <v>4.3339999999999996</v>
      </c>
    </row>
    <row r="7" spans="3:21" x14ac:dyDescent="0.3">
      <c r="D7">
        <f>AVERAGE(D2:D6)</f>
        <v>6.8485559999999976</v>
      </c>
      <c r="E7">
        <f t="shared" ref="E7:L7" si="9">AVERAGE(E2:E6)</f>
        <v>6.790668000000001</v>
      </c>
      <c r="F7">
        <f t="shared" si="9"/>
        <v>4.0505299999999993</v>
      </c>
      <c r="G7">
        <f t="shared" si="9"/>
        <v>16.217292</v>
      </c>
      <c r="H7">
        <f t="shared" si="9"/>
        <v>17.709132000000004</v>
      </c>
      <c r="I7">
        <f t="shared" si="9"/>
        <v>6.068028</v>
      </c>
      <c r="J7">
        <f t="shared" si="9"/>
        <v>5.6839399999999998</v>
      </c>
      <c r="K7">
        <f t="shared" si="9"/>
        <v>5.5273960000000004</v>
      </c>
      <c r="L7">
        <f t="shared" si="9"/>
        <v>7.5460900000000013</v>
      </c>
      <c r="N7">
        <f t="shared" si="1"/>
        <v>6.7910000000000004</v>
      </c>
      <c r="O7">
        <f t="shared" si="2"/>
        <v>4.0510000000000002</v>
      </c>
      <c r="P7">
        <f t="shared" si="3"/>
        <v>16.216999999999999</v>
      </c>
      <c r="Q7">
        <f t="shared" si="4"/>
        <v>17.709</v>
      </c>
      <c r="R7">
        <f t="shared" si="5"/>
        <v>6.0679999999999996</v>
      </c>
      <c r="S7">
        <f t="shared" si="6"/>
        <v>5.6840000000000002</v>
      </c>
      <c r="T7">
        <f t="shared" si="7"/>
        <v>5.5270000000000001</v>
      </c>
      <c r="U7">
        <f t="shared" si="8"/>
        <v>7.5460000000000003</v>
      </c>
    </row>
    <row r="8" spans="3:21" x14ac:dyDescent="0.3">
      <c r="C8" t="s">
        <v>6</v>
      </c>
      <c r="D8">
        <v>10.675369999999997</v>
      </c>
      <c r="E8">
        <v>10.741049999999998</v>
      </c>
      <c r="F8">
        <v>10.4779</v>
      </c>
      <c r="G8">
        <v>30.12013</v>
      </c>
      <c r="H8">
        <v>38.533170000000005</v>
      </c>
      <c r="I8">
        <v>4.3322000000000003</v>
      </c>
      <c r="J8">
        <v>4.6914700000000007</v>
      </c>
      <c r="K8">
        <v>4.3932799999999999</v>
      </c>
      <c r="L8">
        <v>11.782409999999999</v>
      </c>
      <c r="N8">
        <f t="shared" si="1"/>
        <v>10.741</v>
      </c>
      <c r="O8">
        <f t="shared" si="2"/>
        <v>10.478</v>
      </c>
      <c r="P8">
        <f t="shared" si="3"/>
        <v>30.12</v>
      </c>
      <c r="Q8">
        <f t="shared" si="4"/>
        <v>38.533000000000001</v>
      </c>
      <c r="R8">
        <f t="shared" si="5"/>
        <v>4.3319999999999999</v>
      </c>
      <c r="S8">
        <f t="shared" si="6"/>
        <v>4.6909999999999998</v>
      </c>
      <c r="T8">
        <f t="shared" si="7"/>
        <v>4.3929999999999998</v>
      </c>
      <c r="U8">
        <f t="shared" si="8"/>
        <v>11.782</v>
      </c>
    </row>
    <row r="9" spans="3:21" x14ac:dyDescent="0.3">
      <c r="C9" t="s">
        <v>1</v>
      </c>
      <c r="D9">
        <v>10.524450000000002</v>
      </c>
      <c r="E9">
        <v>2.6417199999999998</v>
      </c>
      <c r="F9">
        <v>5.0103600000000004</v>
      </c>
      <c r="G9">
        <v>23.118790000000001</v>
      </c>
      <c r="H9">
        <v>31.091370000000001</v>
      </c>
      <c r="I9">
        <v>4.36477</v>
      </c>
      <c r="J9">
        <v>4.7977299999999996</v>
      </c>
      <c r="K9">
        <v>4.567569999999999</v>
      </c>
      <c r="L9">
        <v>6.1676699999999993</v>
      </c>
      <c r="N9">
        <f t="shared" si="1"/>
        <v>2.6419999999999999</v>
      </c>
      <c r="O9">
        <f t="shared" si="2"/>
        <v>5.01</v>
      </c>
      <c r="P9">
        <f t="shared" si="3"/>
        <v>23.119</v>
      </c>
      <c r="Q9">
        <f t="shared" si="4"/>
        <v>31.091000000000001</v>
      </c>
      <c r="R9">
        <f t="shared" si="5"/>
        <v>4.3650000000000002</v>
      </c>
      <c r="S9">
        <f t="shared" si="6"/>
        <v>4.798</v>
      </c>
      <c r="T9">
        <f t="shared" si="7"/>
        <v>4.5679999999999996</v>
      </c>
      <c r="U9">
        <f t="shared" si="8"/>
        <v>6.1680000000000001</v>
      </c>
    </row>
    <row r="10" spans="3:21" x14ac:dyDescent="0.3">
      <c r="C10" t="s">
        <v>7</v>
      </c>
      <c r="D10">
        <v>10.070930000000001</v>
      </c>
      <c r="E10">
        <v>11.171620000000001</v>
      </c>
      <c r="F10">
        <v>10.859590000000001</v>
      </c>
      <c r="G10">
        <v>33.415179999999999</v>
      </c>
      <c r="H10">
        <v>40.377570000000006</v>
      </c>
      <c r="I10">
        <v>6.7332999999999981</v>
      </c>
      <c r="J10">
        <v>4.9289699999999987</v>
      </c>
      <c r="K10">
        <v>5.8375000000000004</v>
      </c>
      <c r="L10">
        <v>10.657080000000001</v>
      </c>
      <c r="N10">
        <f t="shared" si="1"/>
        <v>11.172000000000001</v>
      </c>
      <c r="O10">
        <f t="shared" si="2"/>
        <v>10.86</v>
      </c>
      <c r="P10">
        <f t="shared" si="3"/>
        <v>33.414999999999999</v>
      </c>
      <c r="Q10">
        <f t="shared" si="4"/>
        <v>40.378</v>
      </c>
      <c r="R10">
        <f t="shared" si="5"/>
        <v>6.7329999999999997</v>
      </c>
      <c r="S10">
        <f t="shared" si="6"/>
        <v>4.9290000000000003</v>
      </c>
      <c r="T10">
        <f t="shared" si="7"/>
        <v>5.8380000000000001</v>
      </c>
      <c r="U10">
        <f t="shared" si="8"/>
        <v>10.657</v>
      </c>
    </row>
    <row r="11" spans="3:21" x14ac:dyDescent="0.3">
      <c r="C11" t="s">
        <v>8</v>
      </c>
      <c r="D11">
        <v>11.054790000000001</v>
      </c>
      <c r="E11">
        <v>11.151669999999999</v>
      </c>
      <c r="F11">
        <v>10.067270000000001</v>
      </c>
      <c r="G11">
        <v>33.076610000000002</v>
      </c>
      <c r="H11">
        <v>40.036919999999995</v>
      </c>
      <c r="I11">
        <v>5.7213900000000013</v>
      </c>
      <c r="J11">
        <v>5.1549999999999994</v>
      </c>
      <c r="K11">
        <v>5.3489399999999998</v>
      </c>
      <c r="L11">
        <v>15.13937</v>
      </c>
      <c r="N11">
        <f t="shared" si="1"/>
        <v>11.151999999999999</v>
      </c>
      <c r="O11">
        <f t="shared" si="2"/>
        <v>10.067</v>
      </c>
      <c r="P11">
        <f t="shared" si="3"/>
        <v>33.076999999999998</v>
      </c>
      <c r="Q11">
        <f t="shared" si="4"/>
        <v>40.036999999999999</v>
      </c>
      <c r="R11">
        <f t="shared" si="5"/>
        <v>5.7210000000000001</v>
      </c>
      <c r="S11">
        <f t="shared" si="6"/>
        <v>5.1550000000000002</v>
      </c>
      <c r="T11">
        <f t="shared" si="7"/>
        <v>5.3490000000000002</v>
      </c>
      <c r="U11">
        <f t="shared" si="8"/>
        <v>15.138999999999999</v>
      </c>
    </row>
    <row r="12" spans="3:21" x14ac:dyDescent="0.3">
      <c r="C12" t="s">
        <v>9</v>
      </c>
      <c r="D12">
        <v>1.3944399999999999</v>
      </c>
      <c r="E12">
        <v>1.1009599999999999</v>
      </c>
      <c r="F12">
        <v>0.92647999999999997</v>
      </c>
      <c r="G12">
        <v>20.242219999999996</v>
      </c>
      <c r="H12">
        <v>28.921059999999994</v>
      </c>
      <c r="I12">
        <v>4.3992900000000006</v>
      </c>
      <c r="J12">
        <v>4.2088400000000004</v>
      </c>
      <c r="K12">
        <v>4.6675800000000001</v>
      </c>
      <c r="L12">
        <v>4.8028899999999997</v>
      </c>
      <c r="N12">
        <f t="shared" si="1"/>
        <v>1.101</v>
      </c>
      <c r="O12">
        <f t="shared" si="2"/>
        <v>0.92600000000000005</v>
      </c>
      <c r="P12">
        <f t="shared" si="3"/>
        <v>20.242000000000001</v>
      </c>
      <c r="Q12">
        <f t="shared" si="4"/>
        <v>28.920999999999999</v>
      </c>
      <c r="R12">
        <f t="shared" si="5"/>
        <v>4.399</v>
      </c>
      <c r="S12">
        <f t="shared" si="6"/>
        <v>4.2089999999999996</v>
      </c>
      <c r="T12">
        <f t="shared" si="7"/>
        <v>4.6680000000000001</v>
      </c>
      <c r="U12">
        <f t="shared" si="8"/>
        <v>4.8029999999999999</v>
      </c>
    </row>
    <row r="13" spans="3:21" x14ac:dyDescent="0.3">
      <c r="D13">
        <f>AVERAGE(D8:D12)</f>
        <v>8.743996000000001</v>
      </c>
      <c r="E13">
        <f t="shared" ref="E13" si="10">AVERAGE(E8:E12)</f>
        <v>7.3614039999999985</v>
      </c>
      <c r="F13">
        <f t="shared" ref="F13" si="11">AVERAGE(F8:F12)</f>
        <v>7.4683200000000003</v>
      </c>
      <c r="G13">
        <f t="shared" ref="G13" si="12">AVERAGE(G8:G12)</f>
        <v>27.994585999999998</v>
      </c>
      <c r="H13">
        <f t="shared" ref="H13" si="13">AVERAGE(H8:H12)</f>
        <v>35.792017999999999</v>
      </c>
      <c r="I13">
        <f t="shared" ref="I13" si="14">AVERAGE(I8:I12)</f>
        <v>5.1101900000000002</v>
      </c>
      <c r="J13">
        <f t="shared" ref="J13" si="15">AVERAGE(J8:J12)</f>
        <v>4.7564019999999996</v>
      </c>
      <c r="K13">
        <f t="shared" ref="K13" si="16">AVERAGE(K8:K12)</f>
        <v>4.962974</v>
      </c>
      <c r="L13">
        <f t="shared" ref="L13" si="17">AVERAGE(L8:L12)</f>
        <v>9.7098839999999988</v>
      </c>
      <c r="N13">
        <f t="shared" si="1"/>
        <v>7.3609999999999998</v>
      </c>
      <c r="O13">
        <f t="shared" si="2"/>
        <v>7.468</v>
      </c>
      <c r="P13">
        <f t="shared" si="3"/>
        <v>27.995000000000001</v>
      </c>
      <c r="Q13">
        <f t="shared" si="4"/>
        <v>35.792000000000002</v>
      </c>
      <c r="R13">
        <f t="shared" si="5"/>
        <v>5.1100000000000003</v>
      </c>
      <c r="S13">
        <f t="shared" si="6"/>
        <v>4.7560000000000002</v>
      </c>
      <c r="T13">
        <f t="shared" si="7"/>
        <v>4.9630000000000001</v>
      </c>
      <c r="U13">
        <f t="shared" si="8"/>
        <v>9.7100000000000009</v>
      </c>
    </row>
    <row r="14" spans="3:21" x14ac:dyDescent="0.3">
      <c r="C14" t="s">
        <v>10</v>
      </c>
      <c r="D14">
        <v>11.17764</v>
      </c>
      <c r="E14">
        <v>10.06504</v>
      </c>
      <c r="F14">
        <v>10.977430000000002</v>
      </c>
      <c r="G14">
        <v>75.784360000000021</v>
      </c>
      <c r="H14">
        <v>72.943849999999983</v>
      </c>
      <c r="I14">
        <v>38.552530000000004</v>
      </c>
      <c r="J14">
        <v>38.054250000000003</v>
      </c>
      <c r="K14">
        <v>38.98733</v>
      </c>
      <c r="L14">
        <v>47.112350000000006</v>
      </c>
      <c r="N14">
        <f t="shared" si="1"/>
        <v>10.065</v>
      </c>
      <c r="O14">
        <f t="shared" si="2"/>
        <v>10.977</v>
      </c>
      <c r="P14">
        <f t="shared" si="3"/>
        <v>75.784000000000006</v>
      </c>
      <c r="Q14">
        <f t="shared" si="4"/>
        <v>72.944000000000003</v>
      </c>
      <c r="R14">
        <f t="shared" si="5"/>
        <v>38.552999999999997</v>
      </c>
      <c r="S14">
        <f t="shared" si="6"/>
        <v>38.054000000000002</v>
      </c>
      <c r="T14">
        <f t="shared" si="7"/>
        <v>38.987000000000002</v>
      </c>
      <c r="U14">
        <f t="shared" si="8"/>
        <v>47.112000000000002</v>
      </c>
    </row>
    <row r="15" spans="3:21" x14ac:dyDescent="0.3">
      <c r="C15" t="s">
        <v>11</v>
      </c>
      <c r="D15">
        <v>10.06823</v>
      </c>
      <c r="E15">
        <v>11.11234</v>
      </c>
      <c r="F15">
        <v>10.907340000000001</v>
      </c>
      <c r="G15">
        <v>70.112740000000002</v>
      </c>
      <c r="H15">
        <v>70.952180000000013</v>
      </c>
      <c r="I15">
        <v>27.63814</v>
      </c>
      <c r="J15">
        <v>31.114699999999999</v>
      </c>
      <c r="K15">
        <v>30.952300000000001</v>
      </c>
      <c r="L15">
        <v>39.878349999999998</v>
      </c>
      <c r="N15">
        <f t="shared" si="1"/>
        <v>11.112</v>
      </c>
      <c r="O15">
        <f t="shared" si="2"/>
        <v>10.907</v>
      </c>
      <c r="P15">
        <f t="shared" si="3"/>
        <v>70.113</v>
      </c>
      <c r="Q15">
        <f t="shared" si="4"/>
        <v>70.951999999999998</v>
      </c>
      <c r="R15">
        <f t="shared" si="5"/>
        <v>27.638000000000002</v>
      </c>
      <c r="S15">
        <f t="shared" si="6"/>
        <v>31.114999999999998</v>
      </c>
      <c r="T15">
        <f t="shared" si="7"/>
        <v>30.952000000000002</v>
      </c>
      <c r="U15">
        <f t="shared" si="8"/>
        <v>39.878</v>
      </c>
    </row>
    <row r="16" spans="3:21" x14ac:dyDescent="0.3">
      <c r="C16" t="s">
        <v>12</v>
      </c>
      <c r="D16">
        <v>11.167639999999999</v>
      </c>
      <c r="E16">
        <v>11.152090000000001</v>
      </c>
      <c r="F16">
        <v>10.06948</v>
      </c>
      <c r="G16">
        <v>70.349829999999983</v>
      </c>
      <c r="H16">
        <v>74.054789999999997</v>
      </c>
      <c r="I16">
        <v>23.880699999999997</v>
      </c>
      <c r="J16">
        <v>36.421930000000003</v>
      </c>
      <c r="K16">
        <v>41.109460000000006</v>
      </c>
      <c r="L16">
        <v>50.530330000000006</v>
      </c>
      <c r="N16">
        <f t="shared" si="1"/>
        <v>11.151999999999999</v>
      </c>
      <c r="O16">
        <f t="shared" si="2"/>
        <v>10.069000000000001</v>
      </c>
      <c r="P16">
        <f t="shared" si="3"/>
        <v>70.349999999999994</v>
      </c>
      <c r="Q16">
        <f t="shared" si="4"/>
        <v>74.055000000000007</v>
      </c>
      <c r="R16">
        <f t="shared" si="5"/>
        <v>23.881</v>
      </c>
      <c r="S16">
        <f t="shared" si="6"/>
        <v>36.421999999999997</v>
      </c>
      <c r="T16">
        <f t="shared" si="7"/>
        <v>41.109000000000002</v>
      </c>
      <c r="U16">
        <f t="shared" si="8"/>
        <v>50.53</v>
      </c>
    </row>
    <row r="17" spans="3:21" x14ac:dyDescent="0.3">
      <c r="C17" t="s">
        <v>13</v>
      </c>
      <c r="D17">
        <v>11.18576</v>
      </c>
      <c r="E17">
        <v>10.067319999999999</v>
      </c>
      <c r="F17">
        <v>10.99737</v>
      </c>
      <c r="G17">
        <v>81.377930000000021</v>
      </c>
      <c r="H17">
        <v>80.115339999999989</v>
      </c>
      <c r="I17">
        <v>32.285649999999997</v>
      </c>
      <c r="J17">
        <v>42.151670000000003</v>
      </c>
      <c r="K17">
        <v>43.116529999999997</v>
      </c>
      <c r="L17">
        <v>51.901260000000001</v>
      </c>
      <c r="N17">
        <f t="shared" si="1"/>
        <v>10.067</v>
      </c>
      <c r="O17">
        <f t="shared" si="2"/>
        <v>10.997</v>
      </c>
      <c r="P17">
        <f t="shared" si="3"/>
        <v>81.378</v>
      </c>
      <c r="Q17">
        <f t="shared" si="4"/>
        <v>80.114999999999995</v>
      </c>
      <c r="R17">
        <f t="shared" si="5"/>
        <v>32.286000000000001</v>
      </c>
      <c r="S17">
        <f t="shared" si="6"/>
        <v>42.152000000000001</v>
      </c>
      <c r="T17">
        <f t="shared" si="7"/>
        <v>43.116999999999997</v>
      </c>
      <c r="U17">
        <f t="shared" si="8"/>
        <v>51.901000000000003</v>
      </c>
    </row>
    <row r="18" spans="3:21" x14ac:dyDescent="0.3">
      <c r="C18" t="s">
        <v>14</v>
      </c>
      <c r="D18">
        <v>10.06653</v>
      </c>
      <c r="E18">
        <v>11.005579999999998</v>
      </c>
      <c r="F18">
        <v>11.166039999999999</v>
      </c>
      <c r="G18">
        <v>66.326570000000004</v>
      </c>
      <c r="H18">
        <v>67.051140000000004</v>
      </c>
      <c r="I18">
        <v>23.367569999999997</v>
      </c>
      <c r="J18">
        <v>37.298969999999997</v>
      </c>
      <c r="K18">
        <v>40.180189999999996</v>
      </c>
      <c r="L18">
        <v>48.625099999999996</v>
      </c>
      <c r="N18">
        <f t="shared" si="1"/>
        <v>11.006</v>
      </c>
      <c r="O18">
        <f t="shared" si="2"/>
        <v>11.166</v>
      </c>
      <c r="P18">
        <f t="shared" si="3"/>
        <v>66.326999999999998</v>
      </c>
      <c r="Q18">
        <f t="shared" si="4"/>
        <v>67.051000000000002</v>
      </c>
      <c r="R18">
        <f t="shared" si="5"/>
        <v>23.367999999999999</v>
      </c>
      <c r="S18">
        <f t="shared" si="6"/>
        <v>37.298999999999999</v>
      </c>
      <c r="T18">
        <f t="shared" si="7"/>
        <v>40.18</v>
      </c>
      <c r="U18">
        <f t="shared" si="8"/>
        <v>48.625</v>
      </c>
    </row>
    <row r="19" spans="3:21" x14ac:dyDescent="0.3">
      <c r="D19">
        <f>AVERAGE(D14:D18)</f>
        <v>10.733160000000002</v>
      </c>
      <c r="E19">
        <f t="shared" ref="E19" si="18">AVERAGE(E14:E18)</f>
        <v>10.680473999999998</v>
      </c>
      <c r="F19">
        <f t="shared" ref="F19" si="19">AVERAGE(F14:F18)</f>
        <v>10.823532</v>
      </c>
      <c r="G19">
        <f t="shared" ref="G19" si="20">AVERAGE(G14:G18)</f>
        <v>72.790286000000009</v>
      </c>
      <c r="H19">
        <f t="shared" ref="H19" si="21">AVERAGE(H14:H18)</f>
        <v>73.02346</v>
      </c>
      <c r="I19">
        <f t="shared" ref="I19" si="22">AVERAGE(I14:I18)</f>
        <v>29.144918000000001</v>
      </c>
      <c r="J19">
        <f t="shared" ref="J19" si="23">AVERAGE(J14:J18)</f>
        <v>37.008303999999995</v>
      </c>
      <c r="K19">
        <f t="shared" ref="K19" si="24">AVERAGE(K14:K18)</f>
        <v>38.869161999999996</v>
      </c>
      <c r="L19">
        <f t="shared" ref="L19" si="25">AVERAGE(L14:L18)</f>
        <v>47.609478000000003</v>
      </c>
      <c r="N19">
        <f t="shared" si="1"/>
        <v>10.68</v>
      </c>
      <c r="O19">
        <f t="shared" si="2"/>
        <v>10.824</v>
      </c>
      <c r="P19">
        <f t="shared" si="3"/>
        <v>72.790000000000006</v>
      </c>
      <c r="Q19">
        <f t="shared" si="4"/>
        <v>73.022999999999996</v>
      </c>
      <c r="R19">
        <f t="shared" si="5"/>
        <v>29.145</v>
      </c>
      <c r="S19">
        <f t="shared" si="6"/>
        <v>37.008000000000003</v>
      </c>
      <c r="T19">
        <f t="shared" si="7"/>
        <v>38.869</v>
      </c>
      <c r="U19">
        <f t="shared" si="8"/>
        <v>47.609000000000002</v>
      </c>
    </row>
    <row r="20" spans="3:21" x14ac:dyDescent="0.3">
      <c r="C20" t="s">
        <v>15</v>
      </c>
      <c r="D20">
        <v>11.22015</v>
      </c>
      <c r="E20">
        <v>11.20373</v>
      </c>
      <c r="F20">
        <v>10.07119</v>
      </c>
      <c r="G20">
        <v>78.384829999999994</v>
      </c>
      <c r="H20">
        <v>77.463650000000001</v>
      </c>
      <c r="I20">
        <v>32.266380000000005</v>
      </c>
      <c r="J20">
        <v>38.562620000000003</v>
      </c>
      <c r="K20">
        <v>35.885819999999995</v>
      </c>
      <c r="L20">
        <v>44.535610000000005</v>
      </c>
      <c r="N20">
        <f t="shared" si="1"/>
        <v>11.204000000000001</v>
      </c>
      <c r="O20">
        <f t="shared" si="2"/>
        <v>10.071</v>
      </c>
      <c r="P20">
        <f t="shared" si="3"/>
        <v>78.385000000000005</v>
      </c>
      <c r="Q20">
        <f t="shared" si="4"/>
        <v>77.463999999999999</v>
      </c>
      <c r="R20">
        <f t="shared" si="5"/>
        <v>32.265999999999998</v>
      </c>
      <c r="S20">
        <f t="shared" si="6"/>
        <v>38.563000000000002</v>
      </c>
      <c r="T20">
        <f t="shared" si="7"/>
        <v>35.886000000000003</v>
      </c>
      <c r="U20">
        <f t="shared" si="8"/>
        <v>44.536000000000001</v>
      </c>
    </row>
    <row r="21" spans="3:21" x14ac:dyDescent="0.3">
      <c r="C21" t="s">
        <v>26</v>
      </c>
      <c r="D21">
        <v>11.15094</v>
      </c>
      <c r="E21">
        <v>10.070539999999999</v>
      </c>
      <c r="F21">
        <v>10.99649</v>
      </c>
      <c r="G21">
        <v>76.742710000000002</v>
      </c>
      <c r="H21">
        <v>77.477729999999994</v>
      </c>
      <c r="I21">
        <v>27.002390000000002</v>
      </c>
      <c r="J21">
        <v>34.234560000000002</v>
      </c>
      <c r="K21">
        <v>33.495360000000005</v>
      </c>
      <c r="L21">
        <v>40.447839999999999</v>
      </c>
      <c r="N21">
        <f t="shared" si="1"/>
        <v>10.071</v>
      </c>
      <c r="O21">
        <f t="shared" si="2"/>
        <v>10.996</v>
      </c>
      <c r="P21">
        <f t="shared" si="3"/>
        <v>76.742999999999995</v>
      </c>
      <c r="Q21">
        <f t="shared" si="4"/>
        <v>77.477999999999994</v>
      </c>
      <c r="R21">
        <f t="shared" si="5"/>
        <v>27.001999999999999</v>
      </c>
      <c r="S21">
        <f t="shared" si="6"/>
        <v>34.234999999999999</v>
      </c>
      <c r="T21">
        <f t="shared" si="7"/>
        <v>33.494999999999997</v>
      </c>
      <c r="U21">
        <f t="shared" si="8"/>
        <v>40.448</v>
      </c>
    </row>
    <row r="22" spans="3:21" x14ac:dyDescent="0.3">
      <c r="C22" t="s">
        <v>27</v>
      </c>
      <c r="D22">
        <v>10.07075</v>
      </c>
      <c r="E22">
        <v>11.090109999999999</v>
      </c>
      <c r="F22">
        <v>10.887460000000001</v>
      </c>
      <c r="G22">
        <v>77.090680000000006</v>
      </c>
      <c r="H22">
        <v>75.710079999999991</v>
      </c>
      <c r="I22">
        <v>36.443380000000005</v>
      </c>
      <c r="J22">
        <v>34.333600000000004</v>
      </c>
      <c r="K22">
        <v>34.605029999999999</v>
      </c>
      <c r="L22">
        <v>43.256109999999993</v>
      </c>
      <c r="N22">
        <f t="shared" si="1"/>
        <v>11.09</v>
      </c>
      <c r="O22">
        <f t="shared" si="2"/>
        <v>10.887</v>
      </c>
      <c r="P22">
        <f t="shared" si="3"/>
        <v>77.090999999999994</v>
      </c>
      <c r="Q22">
        <f t="shared" si="4"/>
        <v>75.709999999999994</v>
      </c>
      <c r="R22">
        <f t="shared" si="5"/>
        <v>36.442999999999998</v>
      </c>
      <c r="S22">
        <f t="shared" si="6"/>
        <v>34.334000000000003</v>
      </c>
      <c r="T22">
        <f t="shared" si="7"/>
        <v>34.604999999999997</v>
      </c>
      <c r="U22">
        <f t="shared" si="8"/>
        <v>43.256</v>
      </c>
    </row>
    <row r="23" spans="3:21" x14ac:dyDescent="0.3">
      <c r="C23" t="s">
        <v>28</v>
      </c>
      <c r="D23">
        <v>11.162739999999999</v>
      </c>
      <c r="E23">
        <v>11.224709999999998</v>
      </c>
      <c r="F23">
        <v>10.067830000000001</v>
      </c>
      <c r="G23">
        <v>83.627119999999991</v>
      </c>
      <c r="H23">
        <v>82.046570000000003</v>
      </c>
      <c r="I23">
        <v>30.171720000000001</v>
      </c>
      <c r="J23">
        <v>28.804880000000004</v>
      </c>
      <c r="K23">
        <v>36.577160000000006</v>
      </c>
      <c r="L23">
        <v>44.292929999999998</v>
      </c>
      <c r="N23">
        <f t="shared" si="1"/>
        <v>11.225</v>
      </c>
      <c r="O23">
        <f t="shared" si="2"/>
        <v>10.068</v>
      </c>
      <c r="P23">
        <f t="shared" si="3"/>
        <v>83.626999999999995</v>
      </c>
      <c r="Q23">
        <f t="shared" si="4"/>
        <v>82.046999999999997</v>
      </c>
      <c r="R23">
        <f t="shared" si="5"/>
        <v>30.172000000000001</v>
      </c>
      <c r="S23">
        <f t="shared" si="6"/>
        <v>28.805</v>
      </c>
      <c r="T23">
        <f t="shared" si="7"/>
        <v>36.576999999999998</v>
      </c>
      <c r="U23">
        <f t="shared" si="8"/>
        <v>44.292999999999999</v>
      </c>
    </row>
    <row r="24" spans="3:21" x14ac:dyDescent="0.3">
      <c r="C24" t="s">
        <v>29</v>
      </c>
      <c r="D24">
        <v>11.26792</v>
      </c>
      <c r="E24">
        <v>10.06892</v>
      </c>
      <c r="F24">
        <v>10.998499999999998</v>
      </c>
      <c r="G24">
        <v>69.811119999999988</v>
      </c>
      <c r="H24">
        <v>71.728530000000006</v>
      </c>
      <c r="I24">
        <v>32.80946999999999</v>
      </c>
      <c r="J24">
        <v>26.23143</v>
      </c>
      <c r="K24">
        <v>27.98893</v>
      </c>
      <c r="L24">
        <v>36.769550000000002</v>
      </c>
      <c r="N24">
        <f t="shared" si="1"/>
        <v>10.069000000000001</v>
      </c>
      <c r="O24">
        <f t="shared" si="2"/>
        <v>10.999000000000001</v>
      </c>
      <c r="P24">
        <f t="shared" si="3"/>
        <v>69.811000000000007</v>
      </c>
      <c r="Q24">
        <f t="shared" si="4"/>
        <v>71.728999999999999</v>
      </c>
      <c r="R24">
        <f t="shared" si="5"/>
        <v>32.808999999999997</v>
      </c>
      <c r="S24">
        <f t="shared" si="6"/>
        <v>26.231000000000002</v>
      </c>
      <c r="T24">
        <f t="shared" si="7"/>
        <v>27.989000000000001</v>
      </c>
      <c r="U24">
        <f t="shared" si="8"/>
        <v>36.770000000000003</v>
      </c>
    </row>
    <row r="25" spans="3:21" x14ac:dyDescent="0.3">
      <c r="D25">
        <f>AVERAGE(D20:D24)</f>
        <v>10.974500000000001</v>
      </c>
      <c r="E25">
        <f t="shared" ref="E25" si="26">AVERAGE(E20:E24)</f>
        <v>10.731601999999999</v>
      </c>
      <c r="F25">
        <f t="shared" ref="F25" si="27">AVERAGE(F20:F24)</f>
        <v>10.604293999999999</v>
      </c>
      <c r="G25">
        <f t="shared" ref="G25" si="28">AVERAGE(G20:G24)</f>
        <v>77.131292000000002</v>
      </c>
      <c r="H25">
        <f t="shared" ref="H25" si="29">AVERAGE(H20:H24)</f>
        <v>76.885311999999999</v>
      </c>
      <c r="I25">
        <f t="shared" ref="I25" si="30">AVERAGE(I20:I24)</f>
        <v>31.738667999999997</v>
      </c>
      <c r="J25">
        <f t="shared" ref="J25" si="31">AVERAGE(J20:J24)</f>
        <v>32.433418000000003</v>
      </c>
      <c r="K25">
        <f t="shared" ref="K25" si="32">AVERAGE(K20:K24)</f>
        <v>33.710460000000005</v>
      </c>
      <c r="L25">
        <f t="shared" ref="L25" si="33">AVERAGE(L20:L24)</f>
        <v>41.860408</v>
      </c>
      <c r="N25">
        <f t="shared" si="1"/>
        <v>10.731999999999999</v>
      </c>
      <c r="O25">
        <f t="shared" si="2"/>
        <v>10.603999999999999</v>
      </c>
      <c r="P25">
        <f t="shared" si="3"/>
        <v>77.131</v>
      </c>
      <c r="Q25">
        <f t="shared" si="4"/>
        <v>76.885000000000005</v>
      </c>
      <c r="R25">
        <f t="shared" si="5"/>
        <v>31.739000000000001</v>
      </c>
      <c r="S25">
        <f t="shared" si="6"/>
        <v>32.433</v>
      </c>
      <c r="T25">
        <f t="shared" si="7"/>
        <v>33.71</v>
      </c>
      <c r="U25">
        <f t="shared" si="8"/>
        <v>41.86</v>
      </c>
    </row>
    <row r="26" spans="3:21" x14ac:dyDescent="0.3">
      <c r="C26" t="s">
        <v>16</v>
      </c>
      <c r="D26">
        <v>10.077059999999999</v>
      </c>
      <c r="E26">
        <v>11.223800000000001</v>
      </c>
      <c r="F26">
        <v>11.267869999999998</v>
      </c>
      <c r="G26">
        <v>217.48498999999998</v>
      </c>
      <c r="H26">
        <v>157.57415999999998</v>
      </c>
      <c r="I26">
        <v>38.472059999999992</v>
      </c>
      <c r="J26">
        <v>159.02891</v>
      </c>
      <c r="K26">
        <v>148.84694999999999</v>
      </c>
      <c r="L26">
        <v>154.08548000000002</v>
      </c>
      <c r="N26">
        <f t="shared" si="1"/>
        <v>11.224</v>
      </c>
      <c r="O26">
        <f t="shared" si="2"/>
        <v>11.268000000000001</v>
      </c>
      <c r="P26">
        <f t="shared" si="3"/>
        <v>217.48500000000001</v>
      </c>
      <c r="Q26">
        <f t="shared" si="4"/>
        <v>157.57400000000001</v>
      </c>
      <c r="R26">
        <f t="shared" si="5"/>
        <v>38.472000000000001</v>
      </c>
      <c r="S26">
        <f t="shared" si="6"/>
        <v>159.029</v>
      </c>
      <c r="T26">
        <f t="shared" si="7"/>
        <v>148.84700000000001</v>
      </c>
      <c r="U26">
        <f t="shared" si="8"/>
        <v>154.08500000000001</v>
      </c>
    </row>
    <row r="27" spans="3:21" x14ac:dyDescent="0.3">
      <c r="C27" t="s">
        <v>22</v>
      </c>
      <c r="D27">
        <v>11.218780000000001</v>
      </c>
      <c r="E27">
        <v>11.028590000000001</v>
      </c>
      <c r="F27">
        <v>10.07507</v>
      </c>
      <c r="G27">
        <v>212.11451000000002</v>
      </c>
      <c r="H27">
        <v>154.20250000000001</v>
      </c>
      <c r="I27">
        <v>69.81926</v>
      </c>
      <c r="J27">
        <v>152.56229999999999</v>
      </c>
      <c r="K27">
        <v>144.25855999999996</v>
      </c>
      <c r="L27">
        <v>150.98486</v>
      </c>
      <c r="N27">
        <f t="shared" si="1"/>
        <v>11.029</v>
      </c>
      <c r="O27">
        <f t="shared" si="2"/>
        <v>10.074999999999999</v>
      </c>
      <c r="P27">
        <f t="shared" si="3"/>
        <v>212.11500000000001</v>
      </c>
      <c r="Q27">
        <f t="shared" si="4"/>
        <v>154.203</v>
      </c>
      <c r="R27">
        <f t="shared" si="5"/>
        <v>69.819000000000003</v>
      </c>
      <c r="S27">
        <f t="shared" si="6"/>
        <v>152.56200000000001</v>
      </c>
      <c r="T27">
        <f t="shared" si="7"/>
        <v>144.25899999999999</v>
      </c>
      <c r="U27">
        <f t="shared" si="8"/>
        <v>150.98500000000001</v>
      </c>
    </row>
    <row r="28" spans="3:21" x14ac:dyDescent="0.3">
      <c r="C28" t="s">
        <v>23</v>
      </c>
      <c r="D28">
        <v>11.22606</v>
      </c>
      <c r="E28">
        <v>10.077969999999999</v>
      </c>
      <c r="F28">
        <v>11.01721</v>
      </c>
      <c r="G28">
        <v>136.86563000000001</v>
      </c>
      <c r="H28">
        <v>85.85963000000001</v>
      </c>
      <c r="I28">
        <v>38.64837</v>
      </c>
      <c r="J28">
        <v>152.15405000000001</v>
      </c>
      <c r="K28">
        <v>156.89183</v>
      </c>
      <c r="L28">
        <v>160.94121000000001</v>
      </c>
      <c r="N28">
        <f t="shared" si="1"/>
        <v>10.077999999999999</v>
      </c>
      <c r="O28">
        <f t="shared" si="2"/>
        <v>11.016999999999999</v>
      </c>
      <c r="P28">
        <f t="shared" si="3"/>
        <v>136.86600000000001</v>
      </c>
      <c r="Q28">
        <f t="shared" si="4"/>
        <v>85.86</v>
      </c>
      <c r="R28">
        <f t="shared" si="5"/>
        <v>38.648000000000003</v>
      </c>
      <c r="S28">
        <f t="shared" si="6"/>
        <v>152.154</v>
      </c>
      <c r="T28">
        <f t="shared" si="7"/>
        <v>156.892</v>
      </c>
      <c r="U28">
        <f t="shared" si="8"/>
        <v>160.941</v>
      </c>
    </row>
    <row r="29" spans="3:21" x14ac:dyDescent="0.3">
      <c r="C29" t="s">
        <v>24</v>
      </c>
      <c r="D29">
        <v>10.07456</v>
      </c>
      <c r="E29">
        <v>11.156870000000001</v>
      </c>
      <c r="F29">
        <v>11.166830000000001</v>
      </c>
      <c r="G29">
        <v>108.5921</v>
      </c>
      <c r="H29">
        <v>69.381609999999995</v>
      </c>
      <c r="I29">
        <v>100.87164</v>
      </c>
      <c r="J29">
        <v>164.63995</v>
      </c>
      <c r="K29">
        <v>165.95472000000001</v>
      </c>
      <c r="L29">
        <v>170.48517999999999</v>
      </c>
      <c r="N29">
        <f t="shared" si="1"/>
        <v>11.157</v>
      </c>
      <c r="O29">
        <f t="shared" si="2"/>
        <v>11.167</v>
      </c>
      <c r="P29">
        <f t="shared" si="3"/>
        <v>108.592</v>
      </c>
      <c r="Q29">
        <f t="shared" si="4"/>
        <v>69.382000000000005</v>
      </c>
      <c r="R29">
        <f t="shared" si="5"/>
        <v>100.872</v>
      </c>
      <c r="S29">
        <f t="shared" si="6"/>
        <v>164.64</v>
      </c>
      <c r="T29">
        <f t="shared" si="7"/>
        <v>165.95500000000001</v>
      </c>
      <c r="U29">
        <f t="shared" si="8"/>
        <v>170.48500000000001</v>
      </c>
    </row>
    <row r="30" spans="3:21" x14ac:dyDescent="0.3">
      <c r="C30" t="s">
        <v>25</v>
      </c>
      <c r="D30">
        <v>11.00675</v>
      </c>
      <c r="E30">
        <v>11.26538</v>
      </c>
      <c r="F30">
        <v>10.078050000000001</v>
      </c>
      <c r="G30">
        <v>94.232400000000013</v>
      </c>
      <c r="H30">
        <v>60.813059999999993</v>
      </c>
      <c r="I30">
        <v>67.315840000000009</v>
      </c>
      <c r="J30">
        <v>130.06022999999999</v>
      </c>
      <c r="K30">
        <v>137.49593000000002</v>
      </c>
      <c r="L30">
        <v>142.45392999999999</v>
      </c>
      <c r="N30">
        <f t="shared" si="1"/>
        <v>11.265000000000001</v>
      </c>
      <c r="O30">
        <f t="shared" si="2"/>
        <v>10.077999999999999</v>
      </c>
      <c r="P30">
        <f t="shared" si="3"/>
        <v>94.231999999999999</v>
      </c>
      <c r="Q30">
        <f t="shared" si="4"/>
        <v>60.813000000000002</v>
      </c>
      <c r="R30">
        <f t="shared" si="5"/>
        <v>67.316000000000003</v>
      </c>
      <c r="S30">
        <f t="shared" si="6"/>
        <v>130.06</v>
      </c>
      <c r="T30">
        <f t="shared" si="7"/>
        <v>137.49600000000001</v>
      </c>
      <c r="U30">
        <f t="shared" si="8"/>
        <v>142.45400000000001</v>
      </c>
    </row>
    <row r="31" spans="3:21" x14ac:dyDescent="0.3">
      <c r="D31">
        <f>AVERAGE(D26:D30)</f>
        <v>10.720642000000002</v>
      </c>
      <c r="E31">
        <f t="shared" ref="E31" si="34">AVERAGE(E26:E30)</f>
        <v>10.950521999999999</v>
      </c>
      <c r="F31">
        <f t="shared" ref="F31" si="35">AVERAGE(F26:F30)</f>
        <v>10.721005999999999</v>
      </c>
      <c r="G31">
        <f t="shared" ref="G31" si="36">AVERAGE(G26:G30)</f>
        <v>153.85792599999999</v>
      </c>
      <c r="H31">
        <f t="shared" ref="H31" si="37">AVERAGE(H26:H30)</f>
        <v>105.566192</v>
      </c>
      <c r="I31">
        <f t="shared" ref="I31" si="38">AVERAGE(I26:I30)</f>
        <v>63.025433999999997</v>
      </c>
      <c r="J31">
        <f t="shared" ref="J31" si="39">AVERAGE(J26:J30)</f>
        <v>151.689088</v>
      </c>
      <c r="K31">
        <f t="shared" ref="K31" si="40">AVERAGE(K26:K30)</f>
        <v>150.68959800000002</v>
      </c>
      <c r="L31">
        <f t="shared" ref="L31" si="41">AVERAGE(L26:L30)</f>
        <v>155.790132</v>
      </c>
      <c r="N31">
        <f t="shared" si="1"/>
        <v>10.951000000000001</v>
      </c>
      <c r="O31">
        <f t="shared" si="2"/>
        <v>10.721</v>
      </c>
      <c r="P31">
        <f t="shared" si="3"/>
        <v>153.858</v>
      </c>
      <c r="Q31">
        <f t="shared" si="4"/>
        <v>105.566</v>
      </c>
      <c r="R31">
        <f t="shared" si="5"/>
        <v>63.024999999999999</v>
      </c>
      <c r="S31">
        <f t="shared" si="6"/>
        <v>151.68899999999999</v>
      </c>
      <c r="T31">
        <f t="shared" si="7"/>
        <v>150.69</v>
      </c>
      <c r="U31">
        <f t="shared" si="8"/>
        <v>155.79</v>
      </c>
    </row>
    <row r="32" spans="3:21" x14ac:dyDescent="0.3">
      <c r="C32" t="s">
        <v>17</v>
      </c>
      <c r="D32">
        <v>10.481420000000002</v>
      </c>
      <c r="E32">
        <v>10.076820000000001</v>
      </c>
      <c r="F32">
        <v>11.230700000000001</v>
      </c>
      <c r="G32">
        <v>110.14950999999999</v>
      </c>
      <c r="H32">
        <v>70.046149999999997</v>
      </c>
      <c r="I32">
        <v>93.566800000000015</v>
      </c>
      <c r="J32">
        <v>187.61027000000004</v>
      </c>
      <c r="K32">
        <v>176.57666</v>
      </c>
      <c r="L32">
        <v>182.71508999999998</v>
      </c>
      <c r="N32">
        <f t="shared" si="1"/>
        <v>10.077</v>
      </c>
      <c r="O32">
        <f t="shared" si="2"/>
        <v>11.231</v>
      </c>
      <c r="P32">
        <f t="shared" si="3"/>
        <v>110.15</v>
      </c>
      <c r="Q32">
        <f t="shared" si="4"/>
        <v>70.046000000000006</v>
      </c>
      <c r="R32">
        <f t="shared" si="5"/>
        <v>93.566999999999993</v>
      </c>
      <c r="S32">
        <f t="shared" si="6"/>
        <v>187.61</v>
      </c>
      <c r="T32">
        <f t="shared" si="7"/>
        <v>176.577</v>
      </c>
      <c r="U32">
        <f t="shared" si="8"/>
        <v>182.715</v>
      </c>
    </row>
    <row r="33" spans="3:21" x14ac:dyDescent="0.3">
      <c r="C33" t="s">
        <v>18</v>
      </c>
      <c r="D33">
        <v>10.080699999999998</v>
      </c>
      <c r="E33">
        <v>10.869319999999998</v>
      </c>
      <c r="F33">
        <v>10.88557</v>
      </c>
      <c r="G33">
        <v>105.9076</v>
      </c>
      <c r="H33">
        <v>67.515590000000003</v>
      </c>
      <c r="I33">
        <v>96.472369999999998</v>
      </c>
      <c r="J33">
        <v>149.95364999999998</v>
      </c>
      <c r="K33">
        <v>171.63513000000003</v>
      </c>
      <c r="L33">
        <v>176.86163000000005</v>
      </c>
      <c r="N33">
        <f t="shared" si="1"/>
        <v>10.869</v>
      </c>
      <c r="O33">
        <f t="shared" si="2"/>
        <v>10.885999999999999</v>
      </c>
      <c r="P33">
        <f t="shared" si="3"/>
        <v>105.908</v>
      </c>
      <c r="Q33">
        <f t="shared" si="4"/>
        <v>67.516000000000005</v>
      </c>
      <c r="R33">
        <f t="shared" si="5"/>
        <v>96.471999999999994</v>
      </c>
      <c r="S33">
        <f t="shared" si="6"/>
        <v>149.95400000000001</v>
      </c>
      <c r="T33">
        <f t="shared" si="7"/>
        <v>171.63499999999999</v>
      </c>
      <c r="U33">
        <f t="shared" si="8"/>
        <v>176.86199999999999</v>
      </c>
    </row>
    <row r="34" spans="3:21" x14ac:dyDescent="0.3">
      <c r="C34" t="s">
        <v>19</v>
      </c>
      <c r="D34">
        <v>10.921580000000002</v>
      </c>
      <c r="E34">
        <v>10.781630000000002</v>
      </c>
      <c r="F34">
        <v>10.08103</v>
      </c>
      <c r="G34">
        <v>109.86426000000002</v>
      </c>
      <c r="H34">
        <v>72.892140000000012</v>
      </c>
      <c r="I34">
        <v>99.795879999999997</v>
      </c>
      <c r="J34">
        <v>204.30468000000002</v>
      </c>
      <c r="K34">
        <v>162.18549999999999</v>
      </c>
      <c r="L34">
        <v>167.93298999999999</v>
      </c>
      <c r="N34">
        <f t="shared" si="1"/>
        <v>10.782</v>
      </c>
      <c r="O34">
        <f t="shared" si="2"/>
        <v>10.081</v>
      </c>
      <c r="P34">
        <f t="shared" si="3"/>
        <v>109.864</v>
      </c>
      <c r="Q34">
        <f t="shared" si="4"/>
        <v>72.891999999999996</v>
      </c>
      <c r="R34">
        <f t="shared" si="5"/>
        <v>99.796000000000006</v>
      </c>
      <c r="S34">
        <f t="shared" si="6"/>
        <v>204.30500000000001</v>
      </c>
      <c r="T34">
        <f t="shared" si="7"/>
        <v>162.18600000000001</v>
      </c>
      <c r="U34">
        <f t="shared" si="8"/>
        <v>167.93299999999999</v>
      </c>
    </row>
    <row r="35" spans="3:21" x14ac:dyDescent="0.3">
      <c r="C35" t="s">
        <v>20</v>
      </c>
      <c r="D35">
        <v>10.803719999999998</v>
      </c>
      <c r="E35">
        <v>10.08417</v>
      </c>
      <c r="F35">
        <v>10.937779999999998</v>
      </c>
      <c r="G35">
        <v>106.21034</v>
      </c>
      <c r="H35">
        <v>69.481380000000016</v>
      </c>
      <c r="I35">
        <v>88.408270000000002</v>
      </c>
      <c r="J35">
        <v>160.85401999999999</v>
      </c>
      <c r="K35">
        <v>177.94776000000002</v>
      </c>
      <c r="L35">
        <v>181.94647000000001</v>
      </c>
      <c r="N35">
        <f t="shared" si="1"/>
        <v>10.084</v>
      </c>
      <c r="O35">
        <f t="shared" si="2"/>
        <v>10.938000000000001</v>
      </c>
      <c r="P35">
        <f t="shared" si="3"/>
        <v>106.21</v>
      </c>
      <c r="Q35">
        <f t="shared" si="4"/>
        <v>69.480999999999995</v>
      </c>
      <c r="R35">
        <f t="shared" si="5"/>
        <v>88.408000000000001</v>
      </c>
      <c r="S35">
        <f t="shared" si="6"/>
        <v>160.85400000000001</v>
      </c>
      <c r="T35">
        <f t="shared" si="7"/>
        <v>177.94800000000001</v>
      </c>
      <c r="U35">
        <f t="shared" si="8"/>
        <v>181.946</v>
      </c>
    </row>
    <row r="36" spans="3:21" x14ac:dyDescent="0.3">
      <c r="C36" t="s">
        <v>21</v>
      </c>
      <c r="D36">
        <v>10.243480000000002</v>
      </c>
      <c r="E36">
        <v>10.86834</v>
      </c>
      <c r="F36">
        <v>10.710409999999998</v>
      </c>
      <c r="G36">
        <v>98.074269999999999</v>
      </c>
      <c r="H36">
        <v>63.97787000000001</v>
      </c>
      <c r="I36">
        <v>79.964979999999997</v>
      </c>
      <c r="J36">
        <v>157.15717000000001</v>
      </c>
      <c r="K36">
        <v>162.44107</v>
      </c>
      <c r="L36">
        <v>167.09398000000002</v>
      </c>
      <c r="N36">
        <f t="shared" si="1"/>
        <v>10.868</v>
      </c>
      <c r="O36">
        <f t="shared" si="2"/>
        <v>10.71</v>
      </c>
      <c r="P36">
        <f t="shared" si="3"/>
        <v>98.073999999999998</v>
      </c>
      <c r="Q36">
        <f t="shared" si="4"/>
        <v>63.978000000000002</v>
      </c>
      <c r="R36">
        <f t="shared" si="5"/>
        <v>79.965000000000003</v>
      </c>
      <c r="S36">
        <f t="shared" si="6"/>
        <v>157.15700000000001</v>
      </c>
      <c r="T36">
        <f t="shared" si="7"/>
        <v>162.441</v>
      </c>
      <c r="U36">
        <f t="shared" si="8"/>
        <v>167.09399999999999</v>
      </c>
    </row>
    <row r="37" spans="3:21" x14ac:dyDescent="0.3">
      <c r="D37">
        <f>AVERAGE(D32:D36)</f>
        <v>10.506180000000001</v>
      </c>
      <c r="E37">
        <f t="shared" ref="E37" si="42">AVERAGE(E32:E36)</f>
        <v>10.536055999999999</v>
      </c>
      <c r="F37">
        <f t="shared" ref="F37" si="43">AVERAGE(F32:F36)</f>
        <v>10.769097999999998</v>
      </c>
      <c r="G37">
        <f t="shared" ref="G37" si="44">AVERAGE(G32:G36)</f>
        <v>106.04119599999999</v>
      </c>
      <c r="H37">
        <f t="shared" ref="H37" si="45">AVERAGE(H32:H36)</f>
        <v>68.782626000000008</v>
      </c>
      <c r="I37">
        <f t="shared" ref="I37" si="46">AVERAGE(I32:I36)</f>
        <v>91.641660000000002</v>
      </c>
      <c r="J37">
        <f t="shared" ref="J37" si="47">AVERAGE(J32:J36)</f>
        <v>171.97595799999999</v>
      </c>
      <c r="K37">
        <f t="shared" ref="K37" si="48">AVERAGE(K32:K36)</f>
        <v>170.15722400000001</v>
      </c>
      <c r="L37">
        <f t="shared" ref="L37" si="49">AVERAGE(L32:L36)</f>
        <v>175.31003200000001</v>
      </c>
      <c r="N37">
        <f t="shared" si="1"/>
        <v>10.536</v>
      </c>
      <c r="O37">
        <f t="shared" si="2"/>
        <v>10.769</v>
      </c>
      <c r="P37">
        <f t="shared" si="3"/>
        <v>106.041</v>
      </c>
      <c r="Q37">
        <f t="shared" si="4"/>
        <v>68.783000000000001</v>
      </c>
      <c r="R37">
        <f t="shared" si="5"/>
        <v>91.641999999999996</v>
      </c>
      <c r="S37">
        <f t="shared" si="6"/>
        <v>171.976</v>
      </c>
      <c r="T37">
        <f t="shared" si="7"/>
        <v>170.15700000000001</v>
      </c>
      <c r="U37">
        <f t="shared" si="8"/>
        <v>175.31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9B7A-97B8-4FBD-A75A-BE0F230DD789}">
  <dimension ref="A1:M31"/>
  <sheetViews>
    <sheetView workbookViewId="0">
      <selection activeCell="J21" sqref="J21"/>
    </sheetView>
  </sheetViews>
  <sheetFormatPr defaultRowHeight="16.5" x14ac:dyDescent="0.3"/>
  <cols>
    <col min="5" max="8" width="9" style="1"/>
    <col min="13" max="13" width="8.75" customWidth="1"/>
  </cols>
  <sheetData>
    <row r="1" spans="1:13" x14ac:dyDescent="0.3">
      <c r="E1" s="1" t="s">
        <v>30</v>
      </c>
      <c r="F1" s="1" t="s">
        <v>31</v>
      </c>
      <c r="G1" s="1" t="s">
        <v>32</v>
      </c>
      <c r="H1" s="1" t="s">
        <v>33</v>
      </c>
    </row>
    <row r="2" spans="1:13" x14ac:dyDescent="0.3">
      <c r="A2">
        <v>30</v>
      </c>
      <c r="B2">
        <v>3</v>
      </c>
      <c r="C2">
        <v>1</v>
      </c>
      <c r="D2" t="s">
        <v>0</v>
      </c>
      <c r="E2">
        <v>110123</v>
      </c>
      <c r="F2">
        <v>110121</v>
      </c>
      <c r="G2">
        <v>110148.4</v>
      </c>
      <c r="H2">
        <v>110129.7</v>
      </c>
      <c r="I2">
        <f>MIN(E2:H2)</f>
        <v>110121</v>
      </c>
      <c r="J2">
        <f>(E2-$I2)/$I2*100*1000</f>
        <v>1.8161840157644773</v>
      </c>
      <c r="K2">
        <f>(F2-$I2)/$I2*100*1000</f>
        <v>0</v>
      </c>
      <c r="L2">
        <f t="shared" ref="L2:M2" si="0">(G2-$I2)/$I2*100*1000</f>
        <v>24.881721015968051</v>
      </c>
      <c r="M2">
        <f t="shared" si="0"/>
        <v>7.9004004685728333</v>
      </c>
    </row>
    <row r="3" spans="1:13" x14ac:dyDescent="0.3">
      <c r="C3">
        <v>2</v>
      </c>
      <c r="D3" t="s">
        <v>2</v>
      </c>
      <c r="E3">
        <v>100037.4</v>
      </c>
      <c r="F3">
        <v>100050.4</v>
      </c>
      <c r="G3">
        <v>100045.8</v>
      </c>
      <c r="H3">
        <v>100043.4</v>
      </c>
      <c r="I3">
        <f t="shared" ref="I3:I31" si="1">MIN(E3:H3)</f>
        <v>100037.4</v>
      </c>
      <c r="J3">
        <f t="shared" ref="J3:J31" si="2">(E3-$I3)/$I3*100*1000</f>
        <v>0</v>
      </c>
      <c r="K3">
        <f t="shared" ref="K3:K31" si="3">(F3-$I3)/$I3*100*1000</f>
        <v>12.995139817708178</v>
      </c>
      <c r="L3">
        <f t="shared" ref="L3:L31" si="4">(G3-$I3)/$I3*100*1000</f>
        <v>8.3968595745278591</v>
      </c>
      <c r="M3">
        <f t="shared" ref="M3:M31" si="5">(H3-$I3)/$I3*100*1000</f>
        <v>5.9977568389422355</v>
      </c>
    </row>
    <row r="4" spans="1:13" x14ac:dyDescent="0.3">
      <c r="C4">
        <v>3</v>
      </c>
      <c r="D4" t="s">
        <v>3</v>
      </c>
      <c r="E4">
        <v>140088</v>
      </c>
      <c r="F4">
        <v>140094.6</v>
      </c>
      <c r="G4">
        <v>140142.39999999999</v>
      </c>
      <c r="H4">
        <v>140112</v>
      </c>
      <c r="I4">
        <f t="shared" si="1"/>
        <v>140088</v>
      </c>
      <c r="J4">
        <f t="shared" si="2"/>
        <v>0</v>
      </c>
      <c r="K4">
        <f t="shared" si="3"/>
        <v>4.7113243104375968</v>
      </c>
      <c r="L4">
        <f t="shared" si="4"/>
        <v>38.832733710235125</v>
      </c>
      <c r="M4">
        <f t="shared" si="5"/>
        <v>17.132088401576155</v>
      </c>
    </row>
    <row r="5" spans="1:13" x14ac:dyDescent="0.3">
      <c r="C5">
        <v>4</v>
      </c>
      <c r="D5" t="s">
        <v>4</v>
      </c>
      <c r="E5">
        <v>120117</v>
      </c>
      <c r="F5">
        <v>120146.5</v>
      </c>
      <c r="G5">
        <v>120166.1</v>
      </c>
      <c r="H5">
        <v>120150.7</v>
      </c>
      <c r="I5">
        <f t="shared" si="1"/>
        <v>120117</v>
      </c>
      <c r="J5">
        <f t="shared" si="2"/>
        <v>0</v>
      </c>
      <c r="K5">
        <f t="shared" si="3"/>
        <v>24.559387930101479</v>
      </c>
      <c r="L5">
        <f t="shared" si="4"/>
        <v>40.87681177519071</v>
      </c>
      <c r="M5">
        <f t="shared" si="5"/>
        <v>28.055978754045718</v>
      </c>
    </row>
    <row r="6" spans="1:13" x14ac:dyDescent="0.3">
      <c r="C6">
        <v>5</v>
      </c>
      <c r="D6" t="s">
        <v>5</v>
      </c>
      <c r="E6">
        <v>80068</v>
      </c>
      <c r="F6">
        <v>80087.199999999997</v>
      </c>
      <c r="G6">
        <v>80086.8</v>
      </c>
      <c r="H6">
        <v>80089.7</v>
      </c>
      <c r="I6">
        <f t="shared" si="1"/>
        <v>80068</v>
      </c>
      <c r="J6">
        <f t="shared" si="2"/>
        <v>0</v>
      </c>
      <c r="K6">
        <f t="shared" si="3"/>
        <v>23.979617325269881</v>
      </c>
      <c r="L6">
        <f t="shared" si="4"/>
        <v>23.480041964333953</v>
      </c>
      <c r="M6">
        <f t="shared" si="5"/>
        <v>27.101963331164875</v>
      </c>
    </row>
    <row r="7" spans="1:13" x14ac:dyDescent="0.3">
      <c r="B7">
        <v>6</v>
      </c>
      <c r="C7">
        <v>1</v>
      </c>
      <c r="D7" t="s">
        <v>6</v>
      </c>
      <c r="E7">
        <v>120073.4</v>
      </c>
      <c r="F7">
        <v>120075</v>
      </c>
      <c r="G7">
        <v>120082</v>
      </c>
      <c r="H7">
        <v>120075</v>
      </c>
      <c r="I7">
        <f t="shared" si="1"/>
        <v>120073.4</v>
      </c>
      <c r="J7">
        <f t="shared" si="2"/>
        <v>0</v>
      </c>
      <c r="K7">
        <f t="shared" si="3"/>
        <v>1.3325182763258314</v>
      </c>
      <c r="L7">
        <f t="shared" si="4"/>
        <v>7.1622857352301343</v>
      </c>
      <c r="M7">
        <f t="shared" si="5"/>
        <v>1.3325182763258314</v>
      </c>
    </row>
    <row r="8" spans="1:13" x14ac:dyDescent="0.3">
      <c r="C8">
        <v>2</v>
      </c>
      <c r="D8" t="s">
        <v>1</v>
      </c>
      <c r="E8">
        <v>120069</v>
      </c>
      <c r="F8">
        <v>120067</v>
      </c>
      <c r="G8">
        <v>120071</v>
      </c>
      <c r="H8">
        <v>120067</v>
      </c>
      <c r="I8">
        <f t="shared" si="1"/>
        <v>120067</v>
      </c>
      <c r="J8">
        <f t="shared" si="2"/>
        <v>1.6657366303813705</v>
      </c>
      <c r="K8">
        <f t="shared" si="3"/>
        <v>0</v>
      </c>
      <c r="L8">
        <f t="shared" si="4"/>
        <v>3.3314732607627411</v>
      </c>
      <c r="M8">
        <f t="shared" si="5"/>
        <v>0</v>
      </c>
    </row>
    <row r="9" spans="1:13" x14ac:dyDescent="0.3">
      <c r="C9">
        <v>3</v>
      </c>
      <c r="D9" t="s">
        <v>7</v>
      </c>
      <c r="E9">
        <v>150094</v>
      </c>
      <c r="F9">
        <v>150114</v>
      </c>
      <c r="G9">
        <v>150127</v>
      </c>
      <c r="H9">
        <v>150119.29999999999</v>
      </c>
      <c r="I9">
        <f t="shared" si="1"/>
        <v>150094</v>
      </c>
      <c r="J9">
        <f t="shared" si="2"/>
        <v>0</v>
      </c>
      <c r="K9">
        <f t="shared" si="3"/>
        <v>13.324983010646662</v>
      </c>
      <c r="L9">
        <f t="shared" si="4"/>
        <v>21.986221967566991</v>
      </c>
      <c r="M9">
        <f t="shared" si="5"/>
        <v>16.856103508460272</v>
      </c>
    </row>
    <row r="10" spans="1:13" x14ac:dyDescent="0.3">
      <c r="C10">
        <v>4</v>
      </c>
      <c r="D10" t="s">
        <v>8</v>
      </c>
      <c r="E10">
        <v>150089.29999999999</v>
      </c>
      <c r="F10">
        <v>150091.5</v>
      </c>
      <c r="G10">
        <v>150114</v>
      </c>
      <c r="H10">
        <v>150109</v>
      </c>
      <c r="I10">
        <f t="shared" si="1"/>
        <v>150089.29999999999</v>
      </c>
      <c r="J10">
        <f t="shared" si="2"/>
        <v>0</v>
      </c>
      <c r="K10">
        <f t="shared" si="3"/>
        <v>1.4657940306281938</v>
      </c>
      <c r="L10">
        <f t="shared" si="4"/>
        <v>16.456869343791759</v>
      </c>
      <c r="M10">
        <f t="shared" si="5"/>
        <v>13.125519274199855</v>
      </c>
    </row>
    <row r="11" spans="1:13" x14ac:dyDescent="0.3">
      <c r="C11">
        <v>5</v>
      </c>
      <c r="D11" t="s">
        <v>9</v>
      </c>
      <c r="E11">
        <v>100127</v>
      </c>
      <c r="F11">
        <v>100125</v>
      </c>
      <c r="G11">
        <v>100137</v>
      </c>
      <c r="H11">
        <v>100125</v>
      </c>
      <c r="I11">
        <f t="shared" si="1"/>
        <v>100125</v>
      </c>
      <c r="J11">
        <f t="shared" si="2"/>
        <v>1.9975031210986267</v>
      </c>
      <c r="K11">
        <f t="shared" si="3"/>
        <v>0</v>
      </c>
      <c r="L11">
        <f t="shared" si="4"/>
        <v>11.985018726591761</v>
      </c>
      <c r="M11">
        <f t="shared" si="5"/>
        <v>0</v>
      </c>
    </row>
    <row r="12" spans="1:13" x14ac:dyDescent="0.3">
      <c r="A12">
        <v>60</v>
      </c>
      <c r="B12">
        <v>3</v>
      </c>
      <c r="C12">
        <v>1</v>
      </c>
      <c r="D12" t="s">
        <v>10</v>
      </c>
      <c r="E12">
        <v>250402.2</v>
      </c>
      <c r="F12">
        <v>250472</v>
      </c>
      <c r="G12">
        <v>250557.3</v>
      </c>
      <c r="H12">
        <v>250484.8</v>
      </c>
      <c r="I12">
        <f t="shared" si="1"/>
        <v>250402.2</v>
      </c>
      <c r="J12">
        <f t="shared" si="2"/>
        <v>0</v>
      </c>
      <c r="K12">
        <f t="shared" si="3"/>
        <v>27.875154451513747</v>
      </c>
      <c r="L12">
        <f t="shared" si="4"/>
        <v>61.940350364324559</v>
      </c>
      <c r="M12">
        <f t="shared" si="5"/>
        <v>32.986930625999577</v>
      </c>
    </row>
    <row r="13" spans="1:13" x14ac:dyDescent="0.3">
      <c r="C13">
        <v>2</v>
      </c>
      <c r="D13" t="s">
        <v>11</v>
      </c>
      <c r="E13">
        <v>210179.9</v>
      </c>
      <c r="F13">
        <v>210212.2</v>
      </c>
      <c r="G13">
        <v>210207.4</v>
      </c>
      <c r="H13">
        <v>210192.1</v>
      </c>
      <c r="I13">
        <f t="shared" si="1"/>
        <v>210179.9</v>
      </c>
      <c r="J13">
        <f t="shared" si="2"/>
        <v>0</v>
      </c>
      <c r="K13">
        <f t="shared" si="3"/>
        <v>15.367787309831941</v>
      </c>
      <c r="L13">
        <f t="shared" si="4"/>
        <v>13.084029443348292</v>
      </c>
      <c r="M13">
        <f t="shared" si="5"/>
        <v>5.804551243963691</v>
      </c>
    </row>
    <row r="14" spans="1:13" x14ac:dyDescent="0.3">
      <c r="C14">
        <v>3</v>
      </c>
      <c r="D14" t="s">
        <v>12</v>
      </c>
      <c r="E14">
        <v>210346.6</v>
      </c>
      <c r="F14">
        <v>210351.1</v>
      </c>
      <c r="G14">
        <v>210465.9</v>
      </c>
      <c r="H14">
        <v>210372.5</v>
      </c>
      <c r="I14">
        <f t="shared" si="1"/>
        <v>210346.6</v>
      </c>
      <c r="J14">
        <f t="shared" si="2"/>
        <v>0</v>
      </c>
      <c r="K14">
        <f t="shared" si="3"/>
        <v>2.1393262358412257</v>
      </c>
      <c r="L14">
        <f t="shared" si="4"/>
        <v>56.715915541296297</v>
      </c>
      <c r="M14">
        <f t="shared" si="5"/>
        <v>12.313011001838955</v>
      </c>
    </row>
    <row r="15" spans="1:13" x14ac:dyDescent="0.3">
      <c r="C15">
        <v>4</v>
      </c>
      <c r="D15" t="s">
        <v>13</v>
      </c>
      <c r="E15">
        <v>260578.9</v>
      </c>
      <c r="F15">
        <v>260639.1</v>
      </c>
      <c r="G15">
        <v>260709.8</v>
      </c>
      <c r="H15">
        <v>260641.8</v>
      </c>
      <c r="I15">
        <f t="shared" si="1"/>
        <v>260578.9</v>
      </c>
      <c r="J15">
        <f t="shared" si="2"/>
        <v>0</v>
      </c>
      <c r="K15">
        <f t="shared" si="3"/>
        <v>23.102407754431248</v>
      </c>
      <c r="L15">
        <f t="shared" si="4"/>
        <v>50.234305233460638</v>
      </c>
      <c r="M15">
        <f t="shared" si="5"/>
        <v>24.138562255038373</v>
      </c>
    </row>
    <row r="16" spans="1:13" x14ac:dyDescent="0.3">
      <c r="C16">
        <v>5</v>
      </c>
      <c r="D16" t="s">
        <v>14</v>
      </c>
      <c r="E16">
        <v>190305.8</v>
      </c>
      <c r="F16">
        <v>190374.3</v>
      </c>
      <c r="G16">
        <v>190406.5</v>
      </c>
      <c r="H16">
        <v>190343.7</v>
      </c>
      <c r="I16">
        <f t="shared" si="1"/>
        <v>190305.8</v>
      </c>
      <c r="J16">
        <f t="shared" si="2"/>
        <v>0</v>
      </c>
      <c r="K16">
        <f t="shared" si="3"/>
        <v>35.994699058042372</v>
      </c>
      <c r="L16">
        <f t="shared" si="4"/>
        <v>52.914834965624614</v>
      </c>
      <c r="M16">
        <f t="shared" si="5"/>
        <v>19.915315245264878</v>
      </c>
    </row>
    <row r="17" spans="1:13" x14ac:dyDescent="0.3">
      <c r="B17">
        <v>6</v>
      </c>
      <c r="C17">
        <v>1</v>
      </c>
      <c r="D17" t="s">
        <v>15</v>
      </c>
      <c r="E17">
        <v>250416.4</v>
      </c>
      <c r="F17">
        <v>250440</v>
      </c>
      <c r="G17">
        <v>250466.4</v>
      </c>
      <c r="H17">
        <v>250408.7</v>
      </c>
      <c r="I17">
        <f t="shared" si="1"/>
        <v>250408.7</v>
      </c>
      <c r="J17">
        <f t="shared" si="2"/>
        <v>3.0749730340769061</v>
      </c>
      <c r="K17">
        <f t="shared" si="3"/>
        <v>12.49956570997268</v>
      </c>
      <c r="L17">
        <f t="shared" si="4"/>
        <v>23.042330398257945</v>
      </c>
      <c r="M17">
        <f t="shared" si="5"/>
        <v>0</v>
      </c>
    </row>
    <row r="18" spans="1:13" x14ac:dyDescent="0.3">
      <c r="C18">
        <v>2</v>
      </c>
      <c r="D18" t="s">
        <v>26</v>
      </c>
      <c r="E18">
        <v>240235.3</v>
      </c>
      <c r="F18">
        <v>240267.2</v>
      </c>
      <c r="G18">
        <v>240287.7</v>
      </c>
      <c r="H18">
        <v>240279.7</v>
      </c>
      <c r="I18">
        <f t="shared" si="1"/>
        <v>240235.3</v>
      </c>
      <c r="J18">
        <f t="shared" si="2"/>
        <v>0</v>
      </c>
      <c r="K18">
        <f t="shared" si="3"/>
        <v>13.278648058808711</v>
      </c>
      <c r="L18">
        <f t="shared" si="4"/>
        <v>21.811948535466389</v>
      </c>
      <c r="M18">
        <f t="shared" si="5"/>
        <v>18.481880056770709</v>
      </c>
    </row>
    <row r="19" spans="1:13" x14ac:dyDescent="0.3">
      <c r="C19">
        <v>3</v>
      </c>
      <c r="D19" t="s">
        <v>27</v>
      </c>
      <c r="E19">
        <v>230318.2</v>
      </c>
      <c r="F19">
        <v>230382.3</v>
      </c>
      <c r="G19">
        <v>230416.8</v>
      </c>
      <c r="H19">
        <v>230396.2</v>
      </c>
      <c r="I19">
        <f t="shared" si="1"/>
        <v>230318.2</v>
      </c>
      <c r="J19">
        <f t="shared" si="2"/>
        <v>0</v>
      </c>
      <c r="K19">
        <f t="shared" si="3"/>
        <v>27.83106154875156</v>
      </c>
      <c r="L19">
        <f t="shared" si="4"/>
        <v>42.810338045354953</v>
      </c>
      <c r="M19">
        <f t="shared" si="5"/>
        <v>33.866190340146801</v>
      </c>
    </row>
    <row r="20" spans="1:13" x14ac:dyDescent="0.3">
      <c r="C20">
        <v>4</v>
      </c>
      <c r="D20" t="s">
        <v>28</v>
      </c>
      <c r="E20">
        <v>280425.7</v>
      </c>
      <c r="F20">
        <v>280442.8</v>
      </c>
      <c r="G20">
        <v>280459</v>
      </c>
      <c r="H20">
        <v>280436.40000000002</v>
      </c>
      <c r="I20">
        <f t="shared" si="1"/>
        <v>280425.7</v>
      </c>
      <c r="J20">
        <f t="shared" si="2"/>
        <v>0</v>
      </c>
      <c r="K20">
        <f t="shared" si="3"/>
        <v>6.097871914013842</v>
      </c>
      <c r="L20">
        <f t="shared" si="4"/>
        <v>11.874803200986342</v>
      </c>
      <c r="M20">
        <f t="shared" si="5"/>
        <v>3.8156274549770726</v>
      </c>
    </row>
    <row r="21" spans="1:13" x14ac:dyDescent="0.3">
      <c r="C21">
        <v>5</v>
      </c>
      <c r="D21" t="s">
        <v>29</v>
      </c>
      <c r="E21">
        <v>190332.3</v>
      </c>
      <c r="F21">
        <v>190370.1</v>
      </c>
      <c r="G21">
        <v>190447.8</v>
      </c>
      <c r="H21">
        <v>190342.6</v>
      </c>
      <c r="I21">
        <f t="shared" si="1"/>
        <v>190332.3</v>
      </c>
      <c r="J21">
        <f t="shared" si="2"/>
        <v>0</v>
      </c>
      <c r="K21">
        <f t="shared" si="3"/>
        <v>19.860002742580985</v>
      </c>
      <c r="L21">
        <f t="shared" si="4"/>
        <v>60.683341713413867</v>
      </c>
      <c r="M21">
        <f t="shared" si="5"/>
        <v>5.4115880489110166</v>
      </c>
    </row>
    <row r="22" spans="1:13" x14ac:dyDescent="0.3">
      <c r="A22">
        <v>120</v>
      </c>
      <c r="B22">
        <v>3</v>
      </c>
      <c r="C22">
        <v>1</v>
      </c>
      <c r="D22" t="s">
        <v>16</v>
      </c>
      <c r="E22">
        <v>411221.9</v>
      </c>
      <c r="F22">
        <v>411569.1</v>
      </c>
      <c r="G22">
        <v>411681.6</v>
      </c>
      <c r="H22">
        <v>411582.8</v>
      </c>
      <c r="I22">
        <f t="shared" si="1"/>
        <v>411221.9</v>
      </c>
      <c r="J22">
        <f t="shared" si="2"/>
        <v>0</v>
      </c>
      <c r="K22">
        <f t="shared" si="3"/>
        <v>84.431300959397703</v>
      </c>
      <c r="L22">
        <f t="shared" si="4"/>
        <v>111.78879334975919</v>
      </c>
      <c r="M22">
        <f t="shared" si="5"/>
        <v>87.762835588271216</v>
      </c>
    </row>
    <row r="23" spans="1:13" x14ac:dyDescent="0.3">
      <c r="C23">
        <v>2</v>
      </c>
      <c r="D23" t="s">
        <v>22</v>
      </c>
      <c r="E23">
        <v>400583.2</v>
      </c>
      <c r="F23">
        <v>400642.4</v>
      </c>
      <c r="G23">
        <v>400669</v>
      </c>
      <c r="H23">
        <v>400634.1</v>
      </c>
      <c r="I23">
        <f t="shared" si="1"/>
        <v>400583.2</v>
      </c>
      <c r="J23">
        <f t="shared" si="2"/>
        <v>0</v>
      </c>
      <c r="K23">
        <f t="shared" si="3"/>
        <v>14.778453015506299</v>
      </c>
      <c r="L23">
        <f t="shared" si="4"/>
        <v>21.418771431250327</v>
      </c>
      <c r="M23">
        <f t="shared" si="5"/>
        <v>12.706473960956194</v>
      </c>
    </row>
    <row r="24" spans="1:13" x14ac:dyDescent="0.3">
      <c r="C24">
        <v>3</v>
      </c>
      <c r="D24" t="s">
        <v>23</v>
      </c>
      <c r="E24">
        <v>401475.5</v>
      </c>
      <c r="F24">
        <v>401496.5</v>
      </c>
      <c r="G24">
        <v>401657.3</v>
      </c>
      <c r="H24">
        <v>401666.6</v>
      </c>
      <c r="I24">
        <f t="shared" si="1"/>
        <v>401475.5</v>
      </c>
      <c r="J24">
        <f t="shared" si="2"/>
        <v>0</v>
      </c>
      <c r="K24">
        <f t="shared" si="3"/>
        <v>5.2307052360604818</v>
      </c>
      <c r="L24">
        <f t="shared" si="4"/>
        <v>45.28296247217785</v>
      </c>
      <c r="M24">
        <f t="shared" si="5"/>
        <v>47.599417648144588</v>
      </c>
    </row>
    <row r="25" spans="1:13" x14ac:dyDescent="0.3">
      <c r="C25">
        <v>4</v>
      </c>
      <c r="D25" t="s">
        <v>24</v>
      </c>
      <c r="E25">
        <v>421313.1</v>
      </c>
      <c r="F25">
        <v>421432.9</v>
      </c>
      <c r="G25">
        <v>421694.1</v>
      </c>
      <c r="H25">
        <v>421439.1</v>
      </c>
      <c r="I25">
        <f t="shared" si="1"/>
        <v>421313.1</v>
      </c>
      <c r="J25">
        <f t="shared" si="2"/>
        <v>0</v>
      </c>
      <c r="K25">
        <f t="shared" si="3"/>
        <v>28.434909809366616</v>
      </c>
      <c r="L25">
        <f t="shared" si="4"/>
        <v>90.431557907883715</v>
      </c>
      <c r="M25">
        <f t="shared" si="5"/>
        <v>29.906499465599339</v>
      </c>
    </row>
    <row r="26" spans="1:13" x14ac:dyDescent="0.3">
      <c r="C26">
        <v>5</v>
      </c>
      <c r="D26" t="s">
        <v>25</v>
      </c>
      <c r="E26">
        <v>342295.1</v>
      </c>
      <c r="F26">
        <v>346326.1</v>
      </c>
      <c r="G26">
        <v>343323</v>
      </c>
      <c r="H26">
        <v>345283.3</v>
      </c>
      <c r="I26">
        <f t="shared" si="1"/>
        <v>342295.1</v>
      </c>
      <c r="J26">
        <f t="shared" si="2"/>
        <v>0</v>
      </c>
      <c r="K26">
        <f t="shared" si="3"/>
        <v>1177.6388268485293</v>
      </c>
      <c r="L26">
        <f t="shared" si="4"/>
        <v>300.29644011848939</v>
      </c>
      <c r="M26">
        <f t="shared" si="5"/>
        <v>872.98941761071421</v>
      </c>
    </row>
    <row r="27" spans="1:13" x14ac:dyDescent="0.3">
      <c r="B27">
        <v>6</v>
      </c>
      <c r="C27">
        <v>1</v>
      </c>
      <c r="D27" t="s">
        <v>17</v>
      </c>
      <c r="E27">
        <v>441005.5</v>
      </c>
      <c r="F27">
        <v>441057.2</v>
      </c>
      <c r="G27">
        <v>441443</v>
      </c>
      <c r="H27">
        <v>441188.4</v>
      </c>
      <c r="I27">
        <f t="shared" si="1"/>
        <v>441005.5</v>
      </c>
      <c r="J27">
        <f t="shared" si="2"/>
        <v>0</v>
      </c>
      <c r="K27">
        <f t="shared" si="3"/>
        <v>11.723209801240944</v>
      </c>
      <c r="L27">
        <f t="shared" si="4"/>
        <v>99.205111954386055</v>
      </c>
      <c r="M27">
        <f t="shared" si="5"/>
        <v>41.473405660478903</v>
      </c>
    </row>
    <row r="28" spans="1:13" x14ac:dyDescent="0.3">
      <c r="C28">
        <v>2</v>
      </c>
      <c r="D28" t="s">
        <v>18</v>
      </c>
      <c r="E28">
        <v>410771.7</v>
      </c>
      <c r="F28">
        <v>410844.4</v>
      </c>
      <c r="G28">
        <v>410921.6</v>
      </c>
      <c r="H28">
        <v>410827.1</v>
      </c>
      <c r="I28">
        <f t="shared" si="1"/>
        <v>410771.7</v>
      </c>
      <c r="J28">
        <f t="shared" si="2"/>
        <v>0</v>
      </c>
      <c r="K28">
        <f t="shared" si="3"/>
        <v>17.698395483430733</v>
      </c>
      <c r="L28">
        <f t="shared" si="4"/>
        <v>36.492289999521653</v>
      </c>
      <c r="M28">
        <f t="shared" si="5"/>
        <v>13.486810313360211</v>
      </c>
    </row>
    <row r="29" spans="1:13" x14ac:dyDescent="0.3">
      <c r="C29">
        <v>3</v>
      </c>
      <c r="D29" t="s">
        <v>19</v>
      </c>
      <c r="E29">
        <v>451154.4</v>
      </c>
      <c r="F29">
        <v>451203.9</v>
      </c>
      <c r="G29">
        <v>451317.8</v>
      </c>
      <c r="H29">
        <v>451223.1</v>
      </c>
      <c r="I29">
        <f t="shared" si="1"/>
        <v>451154.4</v>
      </c>
      <c r="J29">
        <f t="shared" si="2"/>
        <v>0</v>
      </c>
      <c r="K29">
        <f t="shared" si="3"/>
        <v>10.971853538389517</v>
      </c>
      <c r="L29">
        <f t="shared" si="4"/>
        <v>36.218199357019479</v>
      </c>
      <c r="M29">
        <f t="shared" si="5"/>
        <v>15.227602789633313</v>
      </c>
    </row>
    <row r="30" spans="1:13" x14ac:dyDescent="0.3">
      <c r="C30">
        <v>4</v>
      </c>
      <c r="D30" t="s">
        <v>20</v>
      </c>
      <c r="E30">
        <v>421254.8</v>
      </c>
      <c r="F30">
        <v>421337</v>
      </c>
      <c r="G30">
        <v>421472</v>
      </c>
      <c r="H30">
        <v>421396.5</v>
      </c>
      <c r="I30">
        <f t="shared" si="1"/>
        <v>421254.8</v>
      </c>
      <c r="J30">
        <f t="shared" si="2"/>
        <v>0</v>
      </c>
      <c r="K30">
        <f t="shared" si="3"/>
        <v>19.513130770263423</v>
      </c>
      <c r="L30">
        <f t="shared" si="4"/>
        <v>51.560243349158668</v>
      </c>
      <c r="M30">
        <f t="shared" si="5"/>
        <v>33.637598906887625</v>
      </c>
    </row>
    <row r="31" spans="1:13" x14ac:dyDescent="0.3">
      <c r="C31">
        <v>5</v>
      </c>
      <c r="D31" t="s">
        <v>21</v>
      </c>
      <c r="E31">
        <v>371449.3</v>
      </c>
      <c r="F31">
        <v>371447.1</v>
      </c>
      <c r="G31">
        <v>371731.9</v>
      </c>
      <c r="H31">
        <v>371559.3</v>
      </c>
      <c r="I31">
        <f t="shared" si="1"/>
        <v>371447.1</v>
      </c>
      <c r="J31">
        <f t="shared" si="2"/>
        <v>0.59227814674327561</v>
      </c>
      <c r="K31">
        <f t="shared" si="3"/>
        <v>0</v>
      </c>
      <c r="L31">
        <f t="shared" si="4"/>
        <v>76.673098268918139</v>
      </c>
      <c r="M31">
        <f t="shared" si="5"/>
        <v>30.206185483750353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7516-BAF8-4E39-A30B-FC1AB6F72386}">
  <dimension ref="A1:X31"/>
  <sheetViews>
    <sheetView workbookViewId="0">
      <selection activeCell="M1" sqref="E1:M1"/>
    </sheetView>
  </sheetViews>
  <sheetFormatPr defaultRowHeight="16.5" x14ac:dyDescent="0.3"/>
  <sheetData>
    <row r="1" spans="1:24" x14ac:dyDescent="0.3">
      <c r="E1" t="s">
        <v>34</v>
      </c>
      <c r="F1" t="s">
        <v>40</v>
      </c>
      <c r="G1" t="s">
        <v>41</v>
      </c>
      <c r="H1" t="s">
        <v>42</v>
      </c>
      <c r="I1" t="s">
        <v>38</v>
      </c>
      <c r="J1" t="s">
        <v>39</v>
      </c>
      <c r="K1" t="s">
        <v>35</v>
      </c>
      <c r="L1" t="s">
        <v>36</v>
      </c>
      <c r="M1" t="s">
        <v>37</v>
      </c>
      <c r="O1" t="s">
        <v>34</v>
      </c>
      <c r="P1" t="s">
        <v>40</v>
      </c>
      <c r="Q1" t="s">
        <v>41</v>
      </c>
      <c r="R1" t="s">
        <v>42</v>
      </c>
      <c r="S1" t="s">
        <v>38</v>
      </c>
      <c r="T1" t="s">
        <v>39</v>
      </c>
      <c r="U1" t="s">
        <v>35</v>
      </c>
      <c r="V1" t="s">
        <v>36</v>
      </c>
      <c r="W1" t="s">
        <v>37</v>
      </c>
    </row>
    <row r="2" spans="1:24" x14ac:dyDescent="0.3">
      <c r="A2">
        <v>30</v>
      </c>
      <c r="B2">
        <v>3</v>
      </c>
      <c r="C2">
        <v>1</v>
      </c>
      <c r="D2" t="s">
        <v>0</v>
      </c>
      <c r="E2">
        <v>110123</v>
      </c>
      <c r="I2">
        <v>110123</v>
      </c>
      <c r="J2">
        <v>110123</v>
      </c>
      <c r="K2">
        <v>110131</v>
      </c>
      <c r="L2">
        <v>110131</v>
      </c>
      <c r="M2">
        <v>110131</v>
      </c>
      <c r="N2">
        <f>MIN(E2:M2)</f>
        <v>110123</v>
      </c>
      <c r="O2">
        <f>(E2-$N2)/$N2*100*1000</f>
        <v>0</v>
      </c>
      <c r="P2">
        <f t="shared" ref="P2:X2" si="0">(F2-$N2)/$N2*100*1000</f>
        <v>-100000</v>
      </c>
      <c r="Q2">
        <f t="shared" si="0"/>
        <v>-100000</v>
      </c>
      <c r="R2">
        <f t="shared" si="0"/>
        <v>-100000</v>
      </c>
      <c r="S2">
        <f t="shared" si="0"/>
        <v>0</v>
      </c>
      <c r="T2">
        <f t="shared" si="0"/>
        <v>0</v>
      </c>
      <c r="U2">
        <f t="shared" si="0"/>
        <v>7.264604124478991</v>
      </c>
      <c r="V2">
        <f t="shared" si="0"/>
        <v>7.264604124478991</v>
      </c>
      <c r="W2">
        <f t="shared" si="0"/>
        <v>7.264604124478991</v>
      </c>
      <c r="X2">
        <f t="shared" si="0"/>
        <v>0</v>
      </c>
    </row>
    <row r="3" spans="1:24" x14ac:dyDescent="0.3">
      <c r="C3">
        <v>2</v>
      </c>
      <c r="D3" t="s">
        <v>2</v>
      </c>
      <c r="E3">
        <v>100037.4</v>
      </c>
      <c r="I3">
        <v>100039.1</v>
      </c>
      <c r="J3">
        <v>100038.5</v>
      </c>
      <c r="K3">
        <v>100040.8</v>
      </c>
      <c r="L3">
        <v>100041.2</v>
      </c>
      <c r="M3">
        <v>100041.1</v>
      </c>
      <c r="N3">
        <f t="shared" ref="N3:N31" si="1">MIN(E3:M3)</f>
        <v>100037.4</v>
      </c>
      <c r="O3">
        <f t="shared" ref="O3:O31" si="2">(E3-$N3)/$N3*100*1000</f>
        <v>0</v>
      </c>
      <c r="P3">
        <f t="shared" ref="P3:P31" si="3">(F3-$N3)/$N3*100*1000</f>
        <v>-100000</v>
      </c>
      <c r="Q3">
        <f t="shared" ref="Q3:Q31" si="4">(G3-$N3)/$N3*100*1000</f>
        <v>-100000</v>
      </c>
      <c r="R3">
        <f t="shared" ref="R3:R31" si="5">(H3-$N3)/$N3*100*1000</f>
        <v>-100000</v>
      </c>
      <c r="S3">
        <f t="shared" ref="S3:S31" si="6">(I3-$N3)/$N3*100*1000</f>
        <v>1.6993644377119372</v>
      </c>
      <c r="T3">
        <f t="shared" ref="T3:T31" si="7">(J3-$N3)/$N3*100*1000</f>
        <v>1.0995887538118951</v>
      </c>
      <c r="U3">
        <f t="shared" ref="U3:U31" si="8">(K3-$N3)/$N3*100*1000</f>
        <v>3.3987288754093279</v>
      </c>
      <c r="V3">
        <f t="shared" ref="V3:V31" si="9">(L3-$N3)/$N3*100*1000</f>
        <v>3.7985793313329923</v>
      </c>
      <c r="W3">
        <f t="shared" ref="W3:W31" si="10">(M3-$N3)/$N3*100*1000</f>
        <v>3.6986167173593492</v>
      </c>
      <c r="X3">
        <f t="shared" ref="X3:X31" si="11">(N3-$N3)/$N3*100*1000</f>
        <v>0</v>
      </c>
    </row>
    <row r="4" spans="1:24" x14ac:dyDescent="0.3">
      <c r="C4">
        <v>3</v>
      </c>
      <c r="D4" t="s">
        <v>3</v>
      </c>
      <c r="E4">
        <v>140088</v>
      </c>
      <c r="I4">
        <v>140084.29999999999</v>
      </c>
      <c r="J4">
        <v>140086.20000000001</v>
      </c>
      <c r="K4">
        <v>140098.4</v>
      </c>
      <c r="L4">
        <v>140098.20000000001</v>
      </c>
      <c r="M4">
        <v>140098</v>
      </c>
      <c r="N4">
        <f t="shared" si="1"/>
        <v>140084.29999999999</v>
      </c>
      <c r="O4">
        <f t="shared" si="2"/>
        <v>2.64126672297441</v>
      </c>
      <c r="P4">
        <f t="shared" si="3"/>
        <v>-100000</v>
      </c>
      <c r="Q4">
        <f t="shared" si="4"/>
        <v>-100000</v>
      </c>
      <c r="R4">
        <f t="shared" si="5"/>
        <v>-100000</v>
      </c>
      <c r="S4">
        <f t="shared" si="6"/>
        <v>0</v>
      </c>
      <c r="T4">
        <f t="shared" si="7"/>
        <v>1.3563261550532666</v>
      </c>
      <c r="U4">
        <f t="shared" si="8"/>
        <v>10.06536778211821</v>
      </c>
      <c r="V4">
        <f t="shared" si="9"/>
        <v>9.9225966079162919</v>
      </c>
      <c r="W4">
        <f t="shared" si="10"/>
        <v>9.779825433693599</v>
      </c>
      <c r="X4">
        <f t="shared" si="11"/>
        <v>0</v>
      </c>
    </row>
    <row r="5" spans="1:24" x14ac:dyDescent="0.3">
      <c r="C5">
        <v>4</v>
      </c>
      <c r="D5" t="s">
        <v>4</v>
      </c>
      <c r="E5">
        <v>120117</v>
      </c>
      <c r="I5">
        <v>120117</v>
      </c>
      <c r="J5">
        <v>120118.5</v>
      </c>
      <c r="K5">
        <v>120128.1</v>
      </c>
      <c r="L5">
        <v>120128.1</v>
      </c>
      <c r="M5">
        <v>120128</v>
      </c>
      <c r="N5">
        <f t="shared" si="1"/>
        <v>120117</v>
      </c>
      <c r="O5">
        <f t="shared" si="2"/>
        <v>0</v>
      </c>
      <c r="P5">
        <f t="shared" si="3"/>
        <v>-100000</v>
      </c>
      <c r="Q5">
        <f t="shared" si="4"/>
        <v>-100000</v>
      </c>
      <c r="R5">
        <f t="shared" si="5"/>
        <v>-100000</v>
      </c>
      <c r="S5">
        <f t="shared" si="6"/>
        <v>0</v>
      </c>
      <c r="T5">
        <f t="shared" si="7"/>
        <v>1.2487824371238043</v>
      </c>
      <c r="U5">
        <f t="shared" si="8"/>
        <v>9.2409900347209959</v>
      </c>
      <c r="V5">
        <f t="shared" si="9"/>
        <v>9.2409900347209959</v>
      </c>
      <c r="W5">
        <f t="shared" si="10"/>
        <v>9.1577378722412313</v>
      </c>
      <c r="X5">
        <f t="shared" si="11"/>
        <v>0</v>
      </c>
    </row>
    <row r="6" spans="1:24" x14ac:dyDescent="0.3">
      <c r="C6">
        <v>5</v>
      </c>
      <c r="D6" t="s">
        <v>5</v>
      </c>
      <c r="E6">
        <v>80068</v>
      </c>
      <c r="I6">
        <v>80068.399999999994</v>
      </c>
      <c r="J6">
        <v>80070</v>
      </c>
      <c r="K6">
        <v>80071</v>
      </c>
      <c r="L6">
        <v>80071</v>
      </c>
      <c r="M6">
        <v>80071</v>
      </c>
      <c r="N6">
        <f t="shared" si="1"/>
        <v>80068</v>
      </c>
      <c r="O6">
        <f t="shared" si="2"/>
        <v>0</v>
      </c>
      <c r="P6">
        <f t="shared" si="3"/>
        <v>-100000</v>
      </c>
      <c r="Q6">
        <f t="shared" si="4"/>
        <v>-100000</v>
      </c>
      <c r="R6">
        <f t="shared" si="5"/>
        <v>-100000</v>
      </c>
      <c r="S6">
        <f t="shared" si="6"/>
        <v>0.49957536093592853</v>
      </c>
      <c r="T6">
        <f t="shared" si="7"/>
        <v>2.4978768047159914</v>
      </c>
      <c r="U6">
        <f t="shared" si="8"/>
        <v>3.7468152070739871</v>
      </c>
      <c r="V6">
        <f t="shared" si="9"/>
        <v>3.7468152070739871</v>
      </c>
      <c r="W6">
        <f t="shared" si="10"/>
        <v>3.7468152070739871</v>
      </c>
      <c r="X6">
        <f t="shared" si="11"/>
        <v>0</v>
      </c>
    </row>
    <row r="7" spans="1:24" x14ac:dyDescent="0.3">
      <c r="B7">
        <v>6</v>
      </c>
      <c r="C7">
        <v>1</v>
      </c>
      <c r="D7" t="s">
        <v>6</v>
      </c>
      <c r="E7">
        <v>120073.4</v>
      </c>
      <c r="I7">
        <v>120074</v>
      </c>
      <c r="J7">
        <v>120073.4</v>
      </c>
      <c r="K7">
        <v>120077</v>
      </c>
      <c r="L7">
        <v>120077</v>
      </c>
      <c r="M7">
        <v>120077</v>
      </c>
      <c r="N7">
        <f t="shared" si="1"/>
        <v>120073.4</v>
      </c>
      <c r="O7">
        <f t="shared" si="2"/>
        <v>0</v>
      </c>
      <c r="P7">
        <f t="shared" si="3"/>
        <v>-100000</v>
      </c>
      <c r="Q7">
        <f t="shared" si="4"/>
        <v>-100000</v>
      </c>
      <c r="R7">
        <f t="shared" si="5"/>
        <v>-100000</v>
      </c>
      <c r="S7">
        <f t="shared" si="6"/>
        <v>0.49969435362521664</v>
      </c>
      <c r="T7">
        <f t="shared" si="7"/>
        <v>0</v>
      </c>
      <c r="U7">
        <f t="shared" si="8"/>
        <v>2.9981661217270612</v>
      </c>
      <c r="V7">
        <f t="shared" si="9"/>
        <v>2.9981661217270612</v>
      </c>
      <c r="W7">
        <f t="shared" si="10"/>
        <v>2.9981661217270612</v>
      </c>
      <c r="X7">
        <f t="shared" si="11"/>
        <v>0</v>
      </c>
    </row>
    <row r="8" spans="1:24" x14ac:dyDescent="0.3">
      <c r="C8">
        <v>2</v>
      </c>
      <c r="D8" t="s">
        <v>1</v>
      </c>
      <c r="E8">
        <v>120069</v>
      </c>
      <c r="I8">
        <v>120069</v>
      </c>
      <c r="J8">
        <v>120069</v>
      </c>
      <c r="K8">
        <v>120076</v>
      </c>
      <c r="L8">
        <v>120076</v>
      </c>
      <c r="M8">
        <v>120076</v>
      </c>
      <c r="N8">
        <f t="shared" si="1"/>
        <v>120069</v>
      </c>
      <c r="O8">
        <f t="shared" si="2"/>
        <v>0</v>
      </c>
      <c r="P8">
        <f t="shared" si="3"/>
        <v>-100000</v>
      </c>
      <c r="Q8">
        <f t="shared" si="4"/>
        <v>-100000</v>
      </c>
      <c r="R8">
        <f t="shared" si="5"/>
        <v>-100000</v>
      </c>
      <c r="S8">
        <f t="shared" si="6"/>
        <v>0</v>
      </c>
      <c r="T8">
        <f t="shared" si="7"/>
        <v>0</v>
      </c>
      <c r="U8">
        <f t="shared" si="8"/>
        <v>5.8299810942041654</v>
      </c>
      <c r="V8">
        <f t="shared" si="9"/>
        <v>5.8299810942041654</v>
      </c>
      <c r="W8">
        <f t="shared" si="10"/>
        <v>5.8299810942041654</v>
      </c>
      <c r="X8">
        <f t="shared" si="11"/>
        <v>0</v>
      </c>
    </row>
    <row r="9" spans="1:24" x14ac:dyDescent="0.3">
      <c r="C9">
        <v>3</v>
      </c>
      <c r="D9" t="s">
        <v>7</v>
      </c>
      <c r="E9">
        <v>150094</v>
      </c>
      <c r="I9">
        <v>150094</v>
      </c>
      <c r="J9">
        <v>150095.20000000001</v>
      </c>
      <c r="K9">
        <v>150104</v>
      </c>
      <c r="L9">
        <v>150104</v>
      </c>
      <c r="M9">
        <v>150104</v>
      </c>
      <c r="N9">
        <f t="shared" si="1"/>
        <v>150094</v>
      </c>
      <c r="O9">
        <f t="shared" si="2"/>
        <v>0</v>
      </c>
      <c r="P9">
        <f t="shared" si="3"/>
        <v>-100000</v>
      </c>
      <c r="Q9">
        <f t="shared" si="4"/>
        <v>-100000</v>
      </c>
      <c r="R9">
        <f t="shared" si="5"/>
        <v>-100000</v>
      </c>
      <c r="S9">
        <f t="shared" si="6"/>
        <v>0</v>
      </c>
      <c r="T9">
        <f t="shared" si="7"/>
        <v>0.79949898064655589</v>
      </c>
      <c r="U9">
        <f t="shared" si="8"/>
        <v>6.6624915053233309</v>
      </c>
      <c r="V9">
        <f t="shared" si="9"/>
        <v>6.6624915053233309</v>
      </c>
      <c r="W9">
        <f t="shared" si="10"/>
        <v>6.6624915053233309</v>
      </c>
      <c r="X9">
        <f t="shared" si="11"/>
        <v>0</v>
      </c>
    </row>
    <row r="10" spans="1:24" x14ac:dyDescent="0.3">
      <c r="C10">
        <v>4</v>
      </c>
      <c r="D10" t="s">
        <v>8</v>
      </c>
      <c r="E10">
        <v>150089.29999999999</v>
      </c>
      <c r="I10">
        <v>150091.79999999999</v>
      </c>
      <c r="J10">
        <v>150092.4</v>
      </c>
      <c r="K10">
        <v>150103</v>
      </c>
      <c r="L10">
        <v>150103</v>
      </c>
      <c r="M10">
        <v>150103</v>
      </c>
      <c r="N10">
        <f t="shared" si="1"/>
        <v>150089.29999999999</v>
      </c>
      <c r="O10">
        <f t="shared" si="2"/>
        <v>0</v>
      </c>
      <c r="P10">
        <f t="shared" si="3"/>
        <v>-100000</v>
      </c>
      <c r="Q10">
        <f t="shared" si="4"/>
        <v>-100000</v>
      </c>
      <c r="R10">
        <f t="shared" si="5"/>
        <v>-100000</v>
      </c>
      <c r="S10">
        <f t="shared" si="6"/>
        <v>1.6656750347959515</v>
      </c>
      <c r="T10">
        <f t="shared" si="7"/>
        <v>2.0654370431508582</v>
      </c>
      <c r="U10">
        <f t="shared" si="8"/>
        <v>9.1278991906895701</v>
      </c>
      <c r="V10">
        <f t="shared" si="9"/>
        <v>9.1278991906895701</v>
      </c>
      <c r="W10">
        <f t="shared" si="10"/>
        <v>9.1278991906895701</v>
      </c>
      <c r="X10">
        <f t="shared" si="11"/>
        <v>0</v>
      </c>
    </row>
    <row r="11" spans="1:24" x14ac:dyDescent="0.3">
      <c r="C11">
        <v>5</v>
      </c>
      <c r="D11" t="s">
        <v>9</v>
      </c>
      <c r="E11">
        <v>100127</v>
      </c>
      <c r="I11">
        <v>100126.5</v>
      </c>
      <c r="J11">
        <v>100127</v>
      </c>
      <c r="K11">
        <v>100127.6</v>
      </c>
      <c r="L11">
        <v>100127.6</v>
      </c>
      <c r="M11">
        <v>100127</v>
      </c>
      <c r="N11">
        <f t="shared" si="1"/>
        <v>100126.5</v>
      </c>
      <c r="O11">
        <f t="shared" si="2"/>
        <v>0.49936829910163649</v>
      </c>
      <c r="P11">
        <f t="shared" si="3"/>
        <v>-100000</v>
      </c>
      <c r="Q11">
        <f t="shared" si="4"/>
        <v>-100000</v>
      </c>
      <c r="R11">
        <f t="shared" si="5"/>
        <v>-100000</v>
      </c>
      <c r="S11">
        <f t="shared" si="6"/>
        <v>0</v>
      </c>
      <c r="T11">
        <f t="shared" si="7"/>
        <v>0.49936829910163649</v>
      </c>
      <c r="U11">
        <f t="shared" si="8"/>
        <v>1.0986102580294137</v>
      </c>
      <c r="V11">
        <f t="shared" si="9"/>
        <v>1.0986102580294137</v>
      </c>
      <c r="W11">
        <f t="shared" si="10"/>
        <v>0.49936829910163649</v>
      </c>
      <c r="X11">
        <f t="shared" si="11"/>
        <v>0</v>
      </c>
    </row>
    <row r="12" spans="1:24" x14ac:dyDescent="0.3">
      <c r="A12">
        <v>60</v>
      </c>
      <c r="B12">
        <v>3</v>
      </c>
      <c r="C12">
        <v>1</v>
      </c>
      <c r="D12" t="s">
        <v>10</v>
      </c>
      <c r="E12">
        <v>250402.2</v>
      </c>
      <c r="I12">
        <v>250435.6</v>
      </c>
      <c r="J12">
        <v>250424.3</v>
      </c>
      <c r="K12">
        <v>250488.4</v>
      </c>
      <c r="L12">
        <v>250444.6</v>
      </c>
      <c r="M12">
        <v>250444.1</v>
      </c>
      <c r="N12">
        <f t="shared" si="1"/>
        <v>250402.2</v>
      </c>
      <c r="O12">
        <f t="shared" si="2"/>
        <v>0</v>
      </c>
      <c r="P12">
        <f t="shared" si="3"/>
        <v>-100000</v>
      </c>
      <c r="Q12">
        <f t="shared" si="4"/>
        <v>-100000</v>
      </c>
      <c r="R12">
        <f t="shared" si="5"/>
        <v>-100000</v>
      </c>
      <c r="S12">
        <f t="shared" si="6"/>
        <v>13.338540955308771</v>
      </c>
      <c r="T12">
        <f t="shared" si="7"/>
        <v>8.8258010512594218</v>
      </c>
      <c r="U12">
        <f t="shared" si="8"/>
        <v>34.42461767507735</v>
      </c>
      <c r="V12">
        <f t="shared" si="9"/>
        <v>16.93275857799739</v>
      </c>
      <c r="W12">
        <f t="shared" si="10"/>
        <v>16.733079821181356</v>
      </c>
      <c r="X12">
        <f t="shared" si="11"/>
        <v>0</v>
      </c>
    </row>
    <row r="13" spans="1:24" x14ac:dyDescent="0.3">
      <c r="C13">
        <v>2</v>
      </c>
      <c r="D13" t="s">
        <v>11</v>
      </c>
      <c r="E13">
        <v>210179.9</v>
      </c>
      <c r="I13">
        <v>210177.3</v>
      </c>
      <c r="J13">
        <v>210169.3</v>
      </c>
      <c r="K13">
        <v>210207.7</v>
      </c>
      <c r="L13">
        <v>210197.7</v>
      </c>
      <c r="M13">
        <v>210196.9</v>
      </c>
      <c r="N13">
        <f t="shared" si="1"/>
        <v>210169.3</v>
      </c>
      <c r="O13">
        <f t="shared" si="2"/>
        <v>5.0435529832405699</v>
      </c>
      <c r="P13">
        <f t="shared" si="3"/>
        <v>-100000</v>
      </c>
      <c r="Q13">
        <f t="shared" si="4"/>
        <v>-100000</v>
      </c>
      <c r="R13">
        <f t="shared" si="5"/>
        <v>-100000</v>
      </c>
      <c r="S13">
        <f t="shared" si="6"/>
        <v>3.8064550816889056</v>
      </c>
      <c r="T13">
        <f t="shared" si="7"/>
        <v>0</v>
      </c>
      <c r="U13">
        <f t="shared" si="8"/>
        <v>18.270984392117825</v>
      </c>
      <c r="V13">
        <f t="shared" si="9"/>
        <v>13.512915540006693</v>
      </c>
      <c r="W13">
        <f t="shared" si="10"/>
        <v>13.132270031829494</v>
      </c>
      <c r="X13">
        <f t="shared" si="11"/>
        <v>0</v>
      </c>
    </row>
    <row r="14" spans="1:24" x14ac:dyDescent="0.3">
      <c r="C14">
        <v>3</v>
      </c>
      <c r="D14" t="s">
        <v>12</v>
      </c>
      <c r="E14">
        <v>210346.6</v>
      </c>
      <c r="I14">
        <v>210358.2</v>
      </c>
      <c r="J14">
        <v>210354.8</v>
      </c>
      <c r="K14">
        <v>210437.2</v>
      </c>
      <c r="L14">
        <v>210377.5</v>
      </c>
      <c r="M14">
        <v>210367.5</v>
      </c>
      <c r="N14">
        <f t="shared" si="1"/>
        <v>210346.6</v>
      </c>
      <c r="O14">
        <f t="shared" si="2"/>
        <v>0</v>
      </c>
      <c r="P14">
        <f t="shared" si="3"/>
        <v>-100000</v>
      </c>
      <c r="Q14">
        <f t="shared" si="4"/>
        <v>-100000</v>
      </c>
      <c r="R14">
        <f t="shared" si="5"/>
        <v>-100000</v>
      </c>
      <c r="S14">
        <f t="shared" si="6"/>
        <v>5.5147076301712605</v>
      </c>
      <c r="T14">
        <f t="shared" si="7"/>
        <v>3.8983278075245984</v>
      </c>
      <c r="U14">
        <f t="shared" si="8"/>
        <v>43.071768214939453</v>
      </c>
      <c r="V14">
        <f t="shared" si="9"/>
        <v>14.690040152773651</v>
      </c>
      <c r="W14">
        <f t="shared" si="10"/>
        <v>9.935981850904259</v>
      </c>
      <c r="X14">
        <f t="shared" si="11"/>
        <v>0</v>
      </c>
    </row>
    <row r="15" spans="1:24" x14ac:dyDescent="0.3">
      <c r="C15">
        <v>4</v>
      </c>
      <c r="D15" t="s">
        <v>13</v>
      </c>
      <c r="E15">
        <v>260578.9</v>
      </c>
      <c r="I15">
        <v>264579.09999999998</v>
      </c>
      <c r="J15">
        <v>268558.59999999998</v>
      </c>
      <c r="K15">
        <v>260757.3</v>
      </c>
      <c r="L15">
        <v>260681.60000000001</v>
      </c>
      <c r="M15">
        <v>260671.4</v>
      </c>
      <c r="N15">
        <f t="shared" si="1"/>
        <v>260578.9</v>
      </c>
      <c r="O15">
        <f t="shared" si="2"/>
        <v>0</v>
      </c>
      <c r="P15">
        <f t="shared" si="3"/>
        <v>-100000</v>
      </c>
      <c r="Q15">
        <f t="shared" si="4"/>
        <v>-100000</v>
      </c>
      <c r="R15">
        <f t="shared" si="5"/>
        <v>-100000</v>
      </c>
      <c r="S15">
        <f t="shared" si="6"/>
        <v>1535.1204567982991</v>
      </c>
      <c r="T15">
        <f t="shared" si="7"/>
        <v>3062.2970624252321</v>
      </c>
      <c r="U15">
        <f t="shared" si="8"/>
        <v>68.462949225740914</v>
      </c>
      <c r="V15">
        <f t="shared" si="9"/>
        <v>39.412247115945171</v>
      </c>
      <c r="W15">
        <f t="shared" si="10"/>
        <v>35.497885669177357</v>
      </c>
      <c r="X15">
        <f t="shared" si="11"/>
        <v>0</v>
      </c>
    </row>
    <row r="16" spans="1:24" x14ac:dyDescent="0.3">
      <c r="C16">
        <v>5</v>
      </c>
      <c r="D16" t="s">
        <v>14</v>
      </c>
      <c r="E16">
        <v>190305.8</v>
      </c>
      <c r="I16">
        <v>190324.2</v>
      </c>
      <c r="J16">
        <v>190308.9</v>
      </c>
      <c r="K16">
        <v>190379.3</v>
      </c>
      <c r="L16">
        <v>190336.9</v>
      </c>
      <c r="M16">
        <v>190332.79999999999</v>
      </c>
      <c r="N16">
        <f t="shared" si="1"/>
        <v>190305.8</v>
      </c>
      <c r="O16">
        <f t="shared" si="2"/>
        <v>0</v>
      </c>
      <c r="P16">
        <f t="shared" si="3"/>
        <v>-100000</v>
      </c>
      <c r="Q16">
        <f t="shared" si="4"/>
        <v>-100000</v>
      </c>
      <c r="R16">
        <f t="shared" si="5"/>
        <v>-100000</v>
      </c>
      <c r="S16">
        <f t="shared" si="6"/>
        <v>9.6686490900557338</v>
      </c>
      <c r="T16">
        <f t="shared" si="7"/>
        <v>1.6289571836516916</v>
      </c>
      <c r="U16">
        <f t="shared" si="8"/>
        <v>38.622049354249853</v>
      </c>
      <c r="V16">
        <f t="shared" si="9"/>
        <v>16.342118842413537</v>
      </c>
      <c r="W16">
        <f t="shared" si="10"/>
        <v>14.187691599520353</v>
      </c>
      <c r="X16">
        <f t="shared" si="11"/>
        <v>0</v>
      </c>
    </row>
    <row r="17" spans="1:24" x14ac:dyDescent="0.3">
      <c r="B17">
        <v>6</v>
      </c>
      <c r="C17">
        <v>1</v>
      </c>
      <c r="D17" t="s">
        <v>15</v>
      </c>
      <c r="E17">
        <v>250416.4</v>
      </c>
      <c r="I17">
        <v>250428.5</v>
      </c>
      <c r="J17">
        <v>250436.2</v>
      </c>
      <c r="K17">
        <v>250473.3</v>
      </c>
      <c r="L17">
        <v>250455.8</v>
      </c>
      <c r="M17">
        <v>250456</v>
      </c>
      <c r="N17">
        <f t="shared" si="1"/>
        <v>250416.4</v>
      </c>
      <c r="O17">
        <f t="shared" si="2"/>
        <v>0</v>
      </c>
      <c r="P17">
        <f t="shared" si="3"/>
        <v>-100000</v>
      </c>
      <c r="Q17">
        <f t="shared" si="4"/>
        <v>-100000</v>
      </c>
      <c r="R17">
        <f t="shared" si="5"/>
        <v>-100000</v>
      </c>
      <c r="S17">
        <f t="shared" si="6"/>
        <v>4.8319519009161631</v>
      </c>
      <c r="T17">
        <f t="shared" si="7"/>
        <v>7.9068303833205267</v>
      </c>
      <c r="U17">
        <f t="shared" si="8"/>
        <v>22.722153980328038</v>
      </c>
      <c r="V17">
        <f t="shared" si="9"/>
        <v>15.733793793055957</v>
      </c>
      <c r="W17">
        <f t="shared" si="10"/>
        <v>15.813660766629431</v>
      </c>
      <c r="X17">
        <f t="shared" si="11"/>
        <v>0</v>
      </c>
    </row>
    <row r="18" spans="1:24" x14ac:dyDescent="0.3">
      <c r="C18">
        <v>2</v>
      </c>
      <c r="D18" t="s">
        <v>26</v>
      </c>
      <c r="E18">
        <v>240235.3</v>
      </c>
      <c r="I18">
        <v>240249.9</v>
      </c>
      <c r="J18">
        <v>240252.9</v>
      </c>
      <c r="K18">
        <v>240311.2</v>
      </c>
      <c r="L18">
        <v>240301.5</v>
      </c>
      <c r="M18">
        <v>240307</v>
      </c>
      <c r="N18">
        <f t="shared" si="1"/>
        <v>240235.3</v>
      </c>
      <c r="O18">
        <f t="shared" si="2"/>
        <v>0</v>
      </c>
      <c r="P18">
        <f t="shared" si="3"/>
        <v>-100000</v>
      </c>
      <c r="Q18">
        <f t="shared" si="4"/>
        <v>-100000</v>
      </c>
      <c r="R18">
        <f t="shared" si="5"/>
        <v>-100000</v>
      </c>
      <c r="S18">
        <f t="shared" si="6"/>
        <v>6.077374973622037</v>
      </c>
      <c r="T18">
        <f t="shared" si="7"/>
        <v>7.3261506531329177</v>
      </c>
      <c r="U18">
        <f t="shared" si="8"/>
        <v>31.594024691634949</v>
      </c>
      <c r="V18">
        <f t="shared" si="9"/>
        <v>27.556316661211589</v>
      </c>
      <c r="W18">
        <f t="shared" si="10"/>
        <v>29.845738740314868</v>
      </c>
      <c r="X18">
        <f t="shared" si="11"/>
        <v>0</v>
      </c>
    </row>
    <row r="19" spans="1:24" x14ac:dyDescent="0.3">
      <c r="C19">
        <v>3</v>
      </c>
      <c r="D19" t="s">
        <v>27</v>
      </c>
      <c r="E19">
        <v>230318.2</v>
      </c>
      <c r="I19">
        <v>230326</v>
      </c>
      <c r="J19">
        <v>230325.6</v>
      </c>
      <c r="K19">
        <v>230377.60000000001</v>
      </c>
      <c r="L19">
        <v>230359.7</v>
      </c>
      <c r="M19">
        <v>230355.7</v>
      </c>
      <c r="N19">
        <f t="shared" si="1"/>
        <v>230318.2</v>
      </c>
      <c r="O19">
        <f t="shared" si="2"/>
        <v>0</v>
      </c>
      <c r="P19">
        <f t="shared" si="3"/>
        <v>-100000</v>
      </c>
      <c r="Q19">
        <f t="shared" si="4"/>
        <v>-100000</v>
      </c>
      <c r="R19">
        <f t="shared" si="5"/>
        <v>-100000</v>
      </c>
      <c r="S19">
        <f t="shared" si="6"/>
        <v>3.3866190340096263</v>
      </c>
      <c r="T19">
        <f t="shared" si="7"/>
        <v>3.2129462630370407</v>
      </c>
      <c r="U19">
        <f t="shared" si="8"/>
        <v>25.790406489801576</v>
      </c>
      <c r="V19">
        <f t="shared" si="9"/>
        <v>18.01854998866785</v>
      </c>
      <c r="W19">
        <f t="shared" si="10"/>
        <v>16.281822278916735</v>
      </c>
      <c r="X19">
        <f t="shared" si="11"/>
        <v>0</v>
      </c>
    </row>
    <row r="20" spans="1:24" x14ac:dyDescent="0.3">
      <c r="C20">
        <v>4</v>
      </c>
      <c r="D20" t="s">
        <v>28</v>
      </c>
      <c r="E20">
        <v>280425.7</v>
      </c>
      <c r="I20">
        <v>280437</v>
      </c>
      <c r="J20">
        <v>280446.5</v>
      </c>
      <c r="K20">
        <v>280520</v>
      </c>
      <c r="L20">
        <v>280515.09999999998</v>
      </c>
      <c r="M20">
        <v>280501.3</v>
      </c>
      <c r="N20">
        <f t="shared" si="1"/>
        <v>280425.7</v>
      </c>
      <c r="O20">
        <f t="shared" si="2"/>
        <v>0</v>
      </c>
      <c r="P20">
        <f t="shared" si="3"/>
        <v>-100000</v>
      </c>
      <c r="Q20">
        <f t="shared" si="4"/>
        <v>-100000</v>
      </c>
      <c r="R20">
        <f t="shared" si="5"/>
        <v>-100000</v>
      </c>
      <c r="S20">
        <f t="shared" si="6"/>
        <v>4.0295878730046351</v>
      </c>
      <c r="T20">
        <f t="shared" si="7"/>
        <v>7.4172944919058263</v>
      </c>
      <c r="U20">
        <f t="shared" si="8"/>
        <v>33.627445701299251</v>
      </c>
      <c r="V20">
        <f t="shared" si="9"/>
        <v>31.880102287331397</v>
      </c>
      <c r="W20">
        <f t="shared" si="10"/>
        <v>26.959012672510653</v>
      </c>
      <c r="X20">
        <f t="shared" si="11"/>
        <v>0</v>
      </c>
    </row>
    <row r="21" spans="1:24" x14ac:dyDescent="0.3">
      <c r="C21">
        <v>5</v>
      </c>
      <c r="D21" t="s">
        <v>29</v>
      </c>
      <c r="E21">
        <v>190332.3</v>
      </c>
      <c r="I21">
        <v>190359.9</v>
      </c>
      <c r="J21">
        <v>191346.5</v>
      </c>
      <c r="K21">
        <v>190389.7</v>
      </c>
      <c r="L21">
        <v>190379.9</v>
      </c>
      <c r="M21">
        <v>190384.2</v>
      </c>
      <c r="N21">
        <f t="shared" si="1"/>
        <v>190332.3</v>
      </c>
      <c r="O21">
        <f t="shared" si="2"/>
        <v>0</v>
      </c>
      <c r="P21">
        <f t="shared" si="3"/>
        <v>-100000</v>
      </c>
      <c r="Q21">
        <f t="shared" si="4"/>
        <v>-100000</v>
      </c>
      <c r="R21">
        <f t="shared" si="5"/>
        <v>-100000</v>
      </c>
      <c r="S21">
        <f t="shared" si="6"/>
        <v>14.500954383468187</v>
      </c>
      <c r="T21">
        <f t="shared" si="7"/>
        <v>532.85753390255456</v>
      </c>
      <c r="U21">
        <f t="shared" si="8"/>
        <v>30.157781942436092</v>
      </c>
      <c r="V21">
        <f t="shared" si="9"/>
        <v>25.008892342500889</v>
      </c>
      <c r="W21">
        <f t="shared" si="10"/>
        <v>27.268099003702098</v>
      </c>
      <c r="X21">
        <f t="shared" si="11"/>
        <v>0</v>
      </c>
    </row>
    <row r="22" spans="1:24" x14ac:dyDescent="0.3">
      <c r="A22">
        <v>120</v>
      </c>
      <c r="B22">
        <v>3</v>
      </c>
      <c r="C22">
        <v>1</v>
      </c>
      <c r="D22" t="s">
        <v>16</v>
      </c>
      <c r="E22">
        <v>411221.9</v>
      </c>
      <c r="I22">
        <v>416396.79999999999</v>
      </c>
      <c r="J22">
        <v>418326.2</v>
      </c>
      <c r="K22">
        <v>412251</v>
      </c>
      <c r="L22">
        <v>411367.5</v>
      </c>
      <c r="M22">
        <v>411352.1</v>
      </c>
      <c r="N22">
        <f t="shared" si="1"/>
        <v>411221.9</v>
      </c>
      <c r="O22">
        <f t="shared" si="2"/>
        <v>0</v>
      </c>
      <c r="P22">
        <f t="shared" si="3"/>
        <v>-100000</v>
      </c>
      <c r="Q22">
        <f t="shared" si="4"/>
        <v>-100000</v>
      </c>
      <c r="R22">
        <f t="shared" si="5"/>
        <v>-100000</v>
      </c>
      <c r="S22">
        <f t="shared" si="6"/>
        <v>1258.4203321856069</v>
      </c>
      <c r="T22">
        <f t="shared" si="7"/>
        <v>1727.6074061230656</v>
      </c>
      <c r="U22">
        <f t="shared" si="8"/>
        <v>250.25418150151458</v>
      </c>
      <c r="V22">
        <f t="shared" si="9"/>
        <v>35.406674595875536</v>
      </c>
      <c r="W22">
        <f t="shared" si="10"/>
        <v>31.661737859767058</v>
      </c>
      <c r="X22">
        <f t="shared" si="11"/>
        <v>0</v>
      </c>
    </row>
    <row r="23" spans="1:24" x14ac:dyDescent="0.3">
      <c r="C23">
        <v>2</v>
      </c>
      <c r="D23" t="s">
        <v>22</v>
      </c>
      <c r="E23">
        <v>400583.2</v>
      </c>
      <c r="I23">
        <v>404631.4</v>
      </c>
      <c r="J23">
        <v>401596.6</v>
      </c>
      <c r="K23">
        <v>401163.2</v>
      </c>
      <c r="L23">
        <v>400794.8</v>
      </c>
      <c r="M23">
        <v>400843.5</v>
      </c>
      <c r="N23">
        <f t="shared" si="1"/>
        <v>400583.2</v>
      </c>
      <c r="O23">
        <f t="shared" si="2"/>
        <v>0</v>
      </c>
      <c r="P23">
        <f t="shared" si="3"/>
        <v>-100000</v>
      </c>
      <c r="Q23">
        <f t="shared" si="4"/>
        <v>-100000</v>
      </c>
      <c r="R23">
        <f t="shared" si="5"/>
        <v>-100000</v>
      </c>
      <c r="S23">
        <f t="shared" si="6"/>
        <v>1010.5765793473145</v>
      </c>
      <c r="T23">
        <f t="shared" si="7"/>
        <v>252.98115347822002</v>
      </c>
      <c r="U23">
        <f t="shared" si="8"/>
        <v>144.78889778702649</v>
      </c>
      <c r="V23">
        <f t="shared" si="9"/>
        <v>52.822984089192133</v>
      </c>
      <c r="W23">
        <f t="shared" si="10"/>
        <v>64.980258782691919</v>
      </c>
      <c r="X23">
        <f t="shared" si="11"/>
        <v>0</v>
      </c>
    </row>
    <row r="24" spans="1:24" x14ac:dyDescent="0.3">
      <c r="C24">
        <v>3</v>
      </c>
      <c r="D24" t="s">
        <v>23</v>
      </c>
      <c r="E24">
        <v>401475.5</v>
      </c>
      <c r="I24">
        <v>410542.1</v>
      </c>
      <c r="J24">
        <v>414478.6</v>
      </c>
      <c r="K24">
        <v>412399</v>
      </c>
      <c r="L24">
        <v>401651.8</v>
      </c>
      <c r="M24">
        <v>401683.1</v>
      </c>
      <c r="N24">
        <f t="shared" si="1"/>
        <v>401475.5</v>
      </c>
      <c r="O24">
        <f t="shared" si="2"/>
        <v>0</v>
      </c>
      <c r="P24">
        <f t="shared" si="3"/>
        <v>-100000</v>
      </c>
      <c r="Q24">
        <f t="shared" si="4"/>
        <v>-100000</v>
      </c>
      <c r="R24">
        <f t="shared" si="5"/>
        <v>-100000</v>
      </c>
      <c r="S24">
        <f t="shared" si="6"/>
        <v>2258.3196234888496</v>
      </c>
      <c r="T24">
        <f t="shared" si="7"/>
        <v>3238.8277740484732</v>
      </c>
      <c r="U24">
        <f t="shared" si="8"/>
        <v>2720.838506957461</v>
      </c>
      <c r="V24">
        <f t="shared" si="9"/>
        <v>43.913015862733431</v>
      </c>
      <c r="W24">
        <f t="shared" si="10"/>
        <v>51.709257476477823</v>
      </c>
      <c r="X24">
        <f t="shared" si="11"/>
        <v>0</v>
      </c>
    </row>
    <row r="25" spans="1:24" x14ac:dyDescent="0.3">
      <c r="C25">
        <v>4</v>
      </c>
      <c r="D25" t="s">
        <v>24</v>
      </c>
      <c r="E25">
        <v>421313.1</v>
      </c>
      <c r="I25">
        <v>429453.7</v>
      </c>
      <c r="J25">
        <v>426471.9</v>
      </c>
      <c r="K25">
        <v>422463.6</v>
      </c>
      <c r="L25">
        <v>421588.9</v>
      </c>
      <c r="M25">
        <v>421577.9</v>
      </c>
      <c r="N25">
        <f t="shared" si="1"/>
        <v>421313.1</v>
      </c>
      <c r="O25">
        <f t="shared" si="2"/>
        <v>0</v>
      </c>
      <c r="P25">
        <f t="shared" si="3"/>
        <v>-100000</v>
      </c>
      <c r="Q25">
        <f t="shared" si="4"/>
        <v>-100000</v>
      </c>
      <c r="R25">
        <f t="shared" si="5"/>
        <v>-100000</v>
      </c>
      <c r="S25">
        <f t="shared" si="6"/>
        <v>1932.1972186480875</v>
      </c>
      <c r="T25">
        <f t="shared" si="7"/>
        <v>1224.4575352629784</v>
      </c>
      <c r="U25">
        <f t="shared" si="8"/>
        <v>273.07482250136536</v>
      </c>
      <c r="V25">
        <f t="shared" si="9"/>
        <v>65.462004385822951</v>
      </c>
      <c r="W25">
        <f t="shared" si="10"/>
        <v>62.851119511842036</v>
      </c>
      <c r="X25">
        <f t="shared" si="11"/>
        <v>0</v>
      </c>
    </row>
    <row r="26" spans="1:24" x14ac:dyDescent="0.3">
      <c r="C26">
        <v>5</v>
      </c>
      <c r="D26" t="s">
        <v>25</v>
      </c>
      <c r="E26">
        <v>342295.1</v>
      </c>
      <c r="I26">
        <v>361096.7</v>
      </c>
      <c r="J26">
        <v>360972.4</v>
      </c>
      <c r="K26">
        <v>352147.8</v>
      </c>
      <c r="L26">
        <v>344513</v>
      </c>
      <c r="M26">
        <v>342653.1</v>
      </c>
      <c r="N26">
        <f t="shared" si="1"/>
        <v>342295.1</v>
      </c>
      <c r="O26">
        <f t="shared" si="2"/>
        <v>0</v>
      </c>
      <c r="P26">
        <f t="shared" si="3"/>
        <v>-100000</v>
      </c>
      <c r="Q26">
        <f t="shared" si="4"/>
        <v>-100000</v>
      </c>
      <c r="R26">
        <f t="shared" si="5"/>
        <v>-100000</v>
      </c>
      <c r="S26">
        <f t="shared" si="6"/>
        <v>5492.804308329285</v>
      </c>
      <c r="T26">
        <f t="shared" si="7"/>
        <v>5456.4906129243591</v>
      </c>
      <c r="U26">
        <f t="shared" si="8"/>
        <v>2878.4227410792651</v>
      </c>
      <c r="V26">
        <f t="shared" si="9"/>
        <v>647.94967850840499</v>
      </c>
      <c r="W26">
        <f t="shared" si="10"/>
        <v>104.58811709545361</v>
      </c>
      <c r="X26">
        <f t="shared" si="11"/>
        <v>0</v>
      </c>
    </row>
    <row r="27" spans="1:24" x14ac:dyDescent="0.3">
      <c r="B27">
        <v>6</v>
      </c>
      <c r="C27">
        <v>1</v>
      </c>
      <c r="D27" t="s">
        <v>17</v>
      </c>
      <c r="E27">
        <v>441005.5</v>
      </c>
      <c r="I27">
        <v>441153.2</v>
      </c>
      <c r="J27">
        <v>441092.7</v>
      </c>
      <c r="K27">
        <v>441590.5</v>
      </c>
      <c r="L27">
        <v>441204</v>
      </c>
      <c r="M27">
        <v>441175.3</v>
      </c>
      <c r="N27">
        <f t="shared" si="1"/>
        <v>441005.5</v>
      </c>
      <c r="O27">
        <f t="shared" si="2"/>
        <v>0</v>
      </c>
      <c r="P27">
        <f t="shared" si="3"/>
        <v>-100000</v>
      </c>
      <c r="Q27">
        <f t="shared" si="4"/>
        <v>-100000</v>
      </c>
      <c r="R27">
        <f t="shared" si="5"/>
        <v>-100000</v>
      </c>
      <c r="S27">
        <f t="shared" si="6"/>
        <v>33.491645795803372</v>
      </c>
      <c r="T27">
        <f t="shared" si="7"/>
        <v>19.772996028396843</v>
      </c>
      <c r="U27">
        <f t="shared" si="8"/>
        <v>132.6514068418648</v>
      </c>
      <c r="V27">
        <f t="shared" si="9"/>
        <v>45.010776509590009</v>
      </c>
      <c r="W27">
        <f t="shared" si="10"/>
        <v>38.502921165379647</v>
      </c>
      <c r="X27">
        <f t="shared" si="11"/>
        <v>0</v>
      </c>
    </row>
    <row r="28" spans="1:24" x14ac:dyDescent="0.3">
      <c r="C28">
        <v>2</v>
      </c>
      <c r="D28" t="s">
        <v>18</v>
      </c>
      <c r="E28">
        <v>410771.7</v>
      </c>
      <c r="I28">
        <v>410889.4</v>
      </c>
      <c r="J28">
        <v>410834.8</v>
      </c>
      <c r="K28">
        <v>412395.6</v>
      </c>
      <c r="L28">
        <v>410988.7</v>
      </c>
      <c r="M28">
        <v>410964.7</v>
      </c>
      <c r="N28">
        <f t="shared" si="1"/>
        <v>410771.7</v>
      </c>
      <c r="O28">
        <f t="shared" si="2"/>
        <v>0</v>
      </c>
      <c r="P28">
        <f t="shared" si="3"/>
        <v>-100000</v>
      </c>
      <c r="Q28">
        <f t="shared" si="4"/>
        <v>-100000</v>
      </c>
      <c r="R28">
        <f t="shared" si="5"/>
        <v>-100000</v>
      </c>
      <c r="S28">
        <f t="shared" si="6"/>
        <v>28.653385810174271</v>
      </c>
      <c r="T28">
        <f t="shared" si="7"/>
        <v>15.361330880383607</v>
      </c>
      <c r="U28">
        <f t="shared" si="8"/>
        <v>395.32908425774338</v>
      </c>
      <c r="V28">
        <f t="shared" si="9"/>
        <v>52.827397797852186</v>
      </c>
      <c r="W28">
        <f t="shared" si="10"/>
        <v>46.984736290255633</v>
      </c>
      <c r="X28">
        <f t="shared" si="11"/>
        <v>0</v>
      </c>
    </row>
    <row r="29" spans="1:24" x14ac:dyDescent="0.3">
      <c r="C29">
        <v>3</v>
      </c>
      <c r="D29" t="s">
        <v>19</v>
      </c>
      <c r="E29">
        <v>451154.4</v>
      </c>
      <c r="I29">
        <v>451269.1</v>
      </c>
      <c r="J29">
        <v>456217.4</v>
      </c>
      <c r="K29">
        <v>451827.3</v>
      </c>
      <c r="L29">
        <v>451401</v>
      </c>
      <c r="M29">
        <v>451474.3</v>
      </c>
      <c r="N29">
        <f t="shared" si="1"/>
        <v>451154.4</v>
      </c>
      <c r="O29">
        <f t="shared" si="2"/>
        <v>0</v>
      </c>
      <c r="P29">
        <f t="shared" si="3"/>
        <v>-100000</v>
      </c>
      <c r="Q29">
        <f t="shared" si="4"/>
        <v>-100000</v>
      </c>
      <c r="R29">
        <f t="shared" si="5"/>
        <v>-100000</v>
      </c>
      <c r="S29">
        <f t="shared" si="6"/>
        <v>25.423668704096297</v>
      </c>
      <c r="T29">
        <f t="shared" si="7"/>
        <v>1122.232211411437</v>
      </c>
      <c r="U29">
        <f t="shared" si="8"/>
        <v>149.15071204003885</v>
      </c>
      <c r="V29">
        <f t="shared" si="9"/>
        <v>54.659779445789887</v>
      </c>
      <c r="W29">
        <f t="shared" si="10"/>
        <v>70.906988826877239</v>
      </c>
      <c r="X29">
        <f t="shared" si="11"/>
        <v>0</v>
      </c>
    </row>
    <row r="30" spans="1:24" x14ac:dyDescent="0.3">
      <c r="C30">
        <v>4</v>
      </c>
      <c r="D30" t="s">
        <v>20</v>
      </c>
      <c r="E30">
        <v>421254.8</v>
      </c>
      <c r="I30">
        <v>421387.9</v>
      </c>
      <c r="J30">
        <v>421296</v>
      </c>
      <c r="K30">
        <v>422273.4</v>
      </c>
      <c r="L30">
        <v>421480.6</v>
      </c>
      <c r="M30">
        <v>421430.3</v>
      </c>
      <c r="N30">
        <f t="shared" si="1"/>
        <v>421254.8</v>
      </c>
      <c r="O30">
        <f t="shared" si="2"/>
        <v>0</v>
      </c>
      <c r="P30">
        <f t="shared" si="3"/>
        <v>-100000</v>
      </c>
      <c r="Q30">
        <f t="shared" si="4"/>
        <v>-100000</v>
      </c>
      <c r="R30">
        <f t="shared" si="5"/>
        <v>-100000</v>
      </c>
      <c r="S30">
        <f t="shared" si="6"/>
        <v>31.596079142607973</v>
      </c>
      <c r="T30">
        <f t="shared" si="7"/>
        <v>9.7803039870433857</v>
      </c>
      <c r="U30">
        <f t="shared" si="8"/>
        <v>241.8013990582505</v>
      </c>
      <c r="V30">
        <f t="shared" si="9"/>
        <v>53.601763113438324</v>
      </c>
      <c r="W30">
        <f t="shared" si="10"/>
        <v>41.661246352563815</v>
      </c>
      <c r="X30">
        <f t="shared" si="11"/>
        <v>0</v>
      </c>
    </row>
    <row r="31" spans="1:24" x14ac:dyDescent="0.3">
      <c r="C31">
        <v>5</v>
      </c>
      <c r="D31" t="s">
        <v>21</v>
      </c>
      <c r="E31">
        <v>371449.3</v>
      </c>
      <c r="I31">
        <v>375592.7</v>
      </c>
      <c r="J31">
        <v>372511.9</v>
      </c>
      <c r="K31">
        <v>372361.7</v>
      </c>
      <c r="L31">
        <v>371650.8</v>
      </c>
      <c r="M31">
        <v>371640.9</v>
      </c>
      <c r="N31">
        <f t="shared" si="1"/>
        <v>371449.3</v>
      </c>
      <c r="O31">
        <f t="shared" si="2"/>
        <v>0</v>
      </c>
      <c r="P31">
        <f t="shared" si="3"/>
        <v>-100000</v>
      </c>
      <c r="Q31">
        <f t="shared" si="4"/>
        <v>-100000</v>
      </c>
      <c r="R31">
        <f t="shared" si="5"/>
        <v>-100000</v>
      </c>
      <c r="S31">
        <f t="shared" si="6"/>
        <v>1115.4685175069717</v>
      </c>
      <c r="T31">
        <f t="shared" si="7"/>
        <v>286.0686505533958</v>
      </c>
      <c r="U31">
        <f t="shared" si="8"/>
        <v>245.63244566621159</v>
      </c>
      <c r="V31">
        <f t="shared" si="9"/>
        <v>54.24697260164443</v>
      </c>
      <c r="W31">
        <f t="shared" si="10"/>
        <v>51.581736726932839</v>
      </c>
      <c r="X31">
        <f t="shared" si="11"/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67CE-3ADC-4E3A-B8D7-B3E794C6516C}">
  <dimension ref="A1:W301"/>
  <sheetViews>
    <sheetView workbookViewId="0">
      <selection activeCell="T2" sqref="T2:W31"/>
    </sheetView>
  </sheetViews>
  <sheetFormatPr defaultRowHeight="16.5" x14ac:dyDescent="0.3"/>
  <cols>
    <col min="8" max="8" width="13.125" bestFit="1" customWidth="1"/>
  </cols>
  <sheetData>
    <row r="1" spans="1:23" x14ac:dyDescent="0.3">
      <c r="A1" t="s">
        <v>76</v>
      </c>
      <c r="B1" t="s">
        <v>77</v>
      </c>
      <c r="C1" s="1" t="s">
        <v>30</v>
      </c>
      <c r="D1" s="1" t="s">
        <v>31</v>
      </c>
      <c r="E1" s="1" t="s">
        <v>32</v>
      </c>
      <c r="F1" s="1" t="s">
        <v>33</v>
      </c>
      <c r="G1" t="s">
        <v>78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23" x14ac:dyDescent="0.3">
      <c r="A2" t="s">
        <v>0</v>
      </c>
      <c r="B2">
        <v>1</v>
      </c>
      <c r="C2">
        <v>110123</v>
      </c>
      <c r="D2">
        <v>110121</v>
      </c>
      <c r="E2">
        <v>110151</v>
      </c>
      <c r="F2">
        <v>110132</v>
      </c>
      <c r="G2">
        <f ca="1">MIN(INDIRECT("C" &amp; (10*INT((ROW()-2)/10)+2) &amp; ":F" &amp; (10*INT((ROW()-2)/10)+11)))</f>
        <v>110121</v>
      </c>
      <c r="H2">
        <f ca="1">(C2-OFFSET($G$2, 10*INT((ROW()-2)/10), 0))/OFFSET($G$2, 10*INT((ROW()-2)/10), 0)*100*1000</f>
        <v>1.8161840157644773</v>
      </c>
      <c r="I2">
        <f t="shared" ref="I2:K2" ca="1" si="0">(D2-OFFSET($G$2, 10*INT((ROW()-2)/10), 0))/OFFSET($G$2, 10*INT((ROW()-2)/10), 0)*100*1000</f>
        <v>0</v>
      </c>
      <c r="J2">
        <f t="shared" ca="1" si="0"/>
        <v>27.242760236467159</v>
      </c>
      <c r="K2">
        <f t="shared" ca="1" si="0"/>
        <v>9.9890120867046246</v>
      </c>
      <c r="M2" t="s">
        <v>0</v>
      </c>
      <c r="N2">
        <f ca="1">AVERAGE(INDIRECT("H" &amp; (10*(ROW()-2)+2) &amp; ":H" &amp; (10*(ROW()-1)+1)))</f>
        <v>1.8161840157644771</v>
      </c>
      <c r="O2">
        <f ca="1">AVERAGE(INDIRECT("I" &amp; (10*(ROW()-2)+2) &amp; ":I" &amp; (10*(ROW()-1)+1)))</f>
        <v>0</v>
      </c>
      <c r="P2">
        <f ca="1">AVERAGE(INDIRECT("J" &amp; (10*(ROW()-2)+2) &amp; ":J" &amp; (10*(ROW()-1)+1)))</f>
        <v>24.881721015973334</v>
      </c>
      <c r="Q2">
        <f ca="1">AVERAGE(INDIRECT("K" &amp; (10*(ROW()-2)+2) &amp; ":K" &amp; (10*(ROW()-1)+1)))</f>
        <v>7.9004004685754747</v>
      </c>
      <c r="S2" t="s">
        <v>0</v>
      </c>
      <c r="T2">
        <f ca="1">MIN(N2,101)</f>
        <v>1.8161840157644771</v>
      </c>
      <c r="U2">
        <f t="shared" ref="U2:W17" ca="1" si="1">MIN(O2,101)</f>
        <v>0</v>
      </c>
      <c r="V2">
        <f t="shared" ca="1" si="1"/>
        <v>24.881721015973334</v>
      </c>
      <c r="W2">
        <f t="shared" ca="1" si="1"/>
        <v>7.9004004685754747</v>
      </c>
    </row>
    <row r="3" spans="1:23" x14ac:dyDescent="0.3">
      <c r="A3" t="s">
        <v>0</v>
      </c>
      <c r="B3">
        <v>2</v>
      </c>
      <c r="C3">
        <v>110123</v>
      </c>
      <c r="D3">
        <v>110121</v>
      </c>
      <c r="E3">
        <v>110147</v>
      </c>
      <c r="F3">
        <v>110139</v>
      </c>
      <c r="G3">
        <f t="shared" ref="G3:G66" ca="1" si="2">MIN(INDIRECT("C" &amp; (10*INT((ROW()-2)/10)+2) &amp; ":F" &amp; (10*INT((ROW()-2)/10)+11)))</f>
        <v>110121</v>
      </c>
      <c r="H3">
        <f t="shared" ref="H3:H66" ca="1" si="3">(C3-OFFSET($G$2, 10*INT((ROW()-2)/10), 0))/OFFSET($G$2, 10*INT((ROW()-2)/10), 0)*100*1000</f>
        <v>1.8161840157644773</v>
      </c>
      <c r="I3">
        <f t="shared" ref="I3:I66" ca="1" si="4">(D3-OFFSET($G$2, 10*INT((ROW()-2)/10), 0))/OFFSET($G$2, 10*INT((ROW()-2)/10), 0)*100*1000</f>
        <v>0</v>
      </c>
      <c r="J3">
        <f t="shared" ref="J3:J66" ca="1" si="5">(E3-OFFSET($G$2, 10*INT((ROW()-2)/10), 0))/OFFSET($G$2, 10*INT((ROW()-2)/10), 0)*100*1000</f>
        <v>23.610392204938204</v>
      </c>
      <c r="K3">
        <f t="shared" ref="K3:K66" ca="1" si="6">(F3-OFFSET($G$2, 10*INT((ROW()-2)/10), 0))/OFFSET($G$2, 10*INT((ROW()-2)/10), 0)*100*1000</f>
        <v>16.345656141880294</v>
      </c>
      <c r="M3" t="s">
        <v>2</v>
      </c>
      <c r="N3">
        <f t="shared" ref="N3:N31" ca="1" si="7">AVERAGE(INDIRECT("H" &amp; (10*(ROW()-2)+2) &amp; ":H" &amp; (10*(ROW()-1)+1)))</f>
        <v>2.3991602938971361</v>
      </c>
      <c r="O3">
        <f t="shared" ref="O3:O31" ca="1" si="8">AVERAGE(INDIRECT("I" &amp; (10*(ROW()-2)+2) &amp; ":I" &amp; (10*(ROW()-1)+1)))</f>
        <v>15.394611885839959</v>
      </c>
      <c r="P3">
        <f t="shared" ref="P3:P31" ca="1" si="9">AVERAGE(INDIRECT("J" &amp; (10*(ROW()-2)+2) &amp; ":J" &amp; (10*(ROW()-1)+1)))</f>
        <v>10.796221322537113</v>
      </c>
      <c r="Q3">
        <f t="shared" ref="Q3:Q31" ca="1" si="10">AVERAGE(INDIRECT("K" &amp; (10*(ROW()-2)+2) &amp; ":K" &amp; (10*(ROW()-1)+1)))</f>
        <v>8.3970610286399783</v>
      </c>
      <c r="S3" t="s">
        <v>2</v>
      </c>
      <c r="T3">
        <f t="shared" ref="T3:T31" ca="1" si="11">MIN(N3,101)</f>
        <v>2.3991602938971361</v>
      </c>
      <c r="U3">
        <f t="shared" ca="1" si="1"/>
        <v>15.394611885839959</v>
      </c>
      <c r="V3">
        <f t="shared" ca="1" si="1"/>
        <v>10.796221322537113</v>
      </c>
      <c r="W3">
        <f t="shared" ca="1" si="1"/>
        <v>8.3970610286399783</v>
      </c>
    </row>
    <row r="4" spans="1:23" x14ac:dyDescent="0.3">
      <c r="A4" t="s">
        <v>43</v>
      </c>
      <c r="B4">
        <v>3</v>
      </c>
      <c r="C4">
        <v>110123</v>
      </c>
      <c r="D4">
        <v>110121</v>
      </c>
      <c r="E4">
        <v>110153</v>
      </c>
      <c r="F4">
        <v>110132</v>
      </c>
      <c r="G4">
        <f t="shared" ca="1" si="2"/>
        <v>110121</v>
      </c>
      <c r="H4">
        <f t="shared" ca="1" si="3"/>
        <v>1.8161840157644773</v>
      </c>
      <c r="I4">
        <f t="shared" ca="1" si="4"/>
        <v>0</v>
      </c>
      <c r="J4">
        <f t="shared" ca="1" si="5"/>
        <v>29.058944252231637</v>
      </c>
      <c r="K4">
        <f t="shared" ca="1" si="6"/>
        <v>9.9890120867046246</v>
      </c>
      <c r="M4" t="s">
        <v>3</v>
      </c>
      <c r="N4">
        <f t="shared" ca="1" si="7"/>
        <v>0</v>
      </c>
      <c r="O4">
        <f t="shared" ca="1" si="8"/>
        <v>4.7113243104334419</v>
      </c>
      <c r="P4">
        <f t="shared" ca="1" si="9"/>
        <v>38.832733710239282</v>
      </c>
      <c r="Q4">
        <f t="shared" ca="1" si="10"/>
        <v>17.132088401576151</v>
      </c>
      <c r="S4" t="s">
        <v>3</v>
      </c>
      <c r="T4">
        <f t="shared" ca="1" si="11"/>
        <v>0</v>
      </c>
      <c r="U4">
        <f t="shared" ca="1" si="1"/>
        <v>4.7113243104334419</v>
      </c>
      <c r="V4">
        <f t="shared" ca="1" si="1"/>
        <v>38.832733710239282</v>
      </c>
      <c r="W4">
        <f t="shared" ca="1" si="1"/>
        <v>17.132088401576151</v>
      </c>
    </row>
    <row r="5" spans="1:23" x14ac:dyDescent="0.3">
      <c r="A5" t="s">
        <v>43</v>
      </c>
      <c r="B5">
        <v>4</v>
      </c>
      <c r="C5">
        <v>110123</v>
      </c>
      <c r="D5">
        <v>110121</v>
      </c>
      <c r="E5">
        <v>110142</v>
      </c>
      <c r="F5">
        <v>110121</v>
      </c>
      <c r="G5">
        <f t="shared" ca="1" si="2"/>
        <v>110121</v>
      </c>
      <c r="H5">
        <f t="shared" ca="1" si="3"/>
        <v>1.8161840157644773</v>
      </c>
      <c r="I5">
        <f t="shared" ca="1" si="4"/>
        <v>0</v>
      </c>
      <c r="J5">
        <f t="shared" ca="1" si="5"/>
        <v>19.06993216552701</v>
      </c>
      <c r="K5">
        <f t="shared" ca="1" si="6"/>
        <v>0</v>
      </c>
      <c r="M5" t="s">
        <v>4</v>
      </c>
      <c r="N5">
        <f t="shared" ca="1" si="7"/>
        <v>0</v>
      </c>
      <c r="O5">
        <f t="shared" ca="1" si="8"/>
        <v>24.559387930101483</v>
      </c>
      <c r="P5">
        <f t="shared" ca="1" si="9"/>
        <v>40.876811775185857</v>
      </c>
      <c r="Q5">
        <f t="shared" ca="1" si="10"/>
        <v>28.055978754048134</v>
      </c>
      <c r="S5" t="s">
        <v>4</v>
      </c>
      <c r="T5">
        <f t="shared" ca="1" si="11"/>
        <v>0</v>
      </c>
      <c r="U5">
        <f t="shared" ca="1" si="1"/>
        <v>24.559387930101483</v>
      </c>
      <c r="V5">
        <f t="shared" ca="1" si="1"/>
        <v>40.876811775185857</v>
      </c>
      <c r="W5">
        <f t="shared" ca="1" si="1"/>
        <v>28.055978754048134</v>
      </c>
    </row>
    <row r="6" spans="1:23" x14ac:dyDescent="0.3">
      <c r="A6" t="s">
        <v>43</v>
      </c>
      <c r="B6">
        <v>5</v>
      </c>
      <c r="C6">
        <v>110123</v>
      </c>
      <c r="D6">
        <v>110121</v>
      </c>
      <c r="E6">
        <v>110142</v>
      </c>
      <c r="F6">
        <v>110139</v>
      </c>
      <c r="G6">
        <f t="shared" ca="1" si="2"/>
        <v>110121</v>
      </c>
      <c r="H6">
        <f t="shared" ca="1" si="3"/>
        <v>1.8161840157644773</v>
      </c>
      <c r="I6">
        <f t="shared" ca="1" si="4"/>
        <v>0</v>
      </c>
      <c r="J6">
        <f t="shared" ca="1" si="5"/>
        <v>19.06993216552701</v>
      </c>
      <c r="K6">
        <f t="shared" ca="1" si="6"/>
        <v>16.345656141880294</v>
      </c>
      <c r="M6" t="s">
        <v>5</v>
      </c>
      <c r="N6">
        <f t="shared" ca="1" si="7"/>
        <v>0</v>
      </c>
      <c r="O6">
        <f t="shared" ca="1" si="8"/>
        <v>23.979617325273519</v>
      </c>
      <c r="P6">
        <f t="shared" ca="1" si="9"/>
        <v>23.480041964330322</v>
      </c>
      <c r="Q6">
        <f t="shared" ca="1" si="10"/>
        <v>27.101963331168509</v>
      </c>
      <c r="S6" t="s">
        <v>5</v>
      </c>
      <c r="T6">
        <f t="shared" ca="1" si="11"/>
        <v>0</v>
      </c>
      <c r="U6">
        <f t="shared" ca="1" si="1"/>
        <v>23.979617325273519</v>
      </c>
      <c r="V6">
        <f t="shared" ca="1" si="1"/>
        <v>23.480041964330322</v>
      </c>
      <c r="W6">
        <f t="shared" ca="1" si="1"/>
        <v>27.101963331168509</v>
      </c>
    </row>
    <row r="7" spans="1:23" x14ac:dyDescent="0.3">
      <c r="A7" t="s">
        <v>43</v>
      </c>
      <c r="B7">
        <v>6</v>
      </c>
      <c r="C7">
        <v>110123</v>
      </c>
      <c r="D7">
        <v>110121</v>
      </c>
      <c r="E7">
        <v>110147</v>
      </c>
      <c r="F7">
        <v>110121</v>
      </c>
      <c r="G7">
        <f t="shared" ca="1" si="2"/>
        <v>110121</v>
      </c>
      <c r="H7">
        <f t="shared" ca="1" si="3"/>
        <v>1.8161840157644773</v>
      </c>
      <c r="I7">
        <f t="shared" ca="1" si="4"/>
        <v>0</v>
      </c>
      <c r="J7">
        <f t="shared" ca="1" si="5"/>
        <v>23.610392204938204</v>
      </c>
      <c r="K7">
        <f t="shared" ca="1" si="6"/>
        <v>0</v>
      </c>
      <c r="M7" t="s">
        <v>6</v>
      </c>
      <c r="N7">
        <f t="shared" ca="1" si="7"/>
        <v>0.33313067883704084</v>
      </c>
      <c r="O7">
        <f t="shared" ca="1" si="8"/>
        <v>1.6656533941852039</v>
      </c>
      <c r="P7">
        <f t="shared" ca="1" si="9"/>
        <v>7.4954402738334185</v>
      </c>
      <c r="Q7">
        <f t="shared" ca="1" si="10"/>
        <v>1.6656533941852039</v>
      </c>
      <c r="S7" t="s">
        <v>6</v>
      </c>
      <c r="T7">
        <f t="shared" ca="1" si="11"/>
        <v>0.33313067883704084</v>
      </c>
      <c r="U7">
        <f t="shared" ca="1" si="1"/>
        <v>1.6656533941852039</v>
      </c>
      <c r="V7">
        <f t="shared" ca="1" si="1"/>
        <v>7.4954402738334185</v>
      </c>
      <c r="W7">
        <f t="shared" ca="1" si="1"/>
        <v>1.6656533941852039</v>
      </c>
    </row>
    <row r="8" spans="1:23" x14ac:dyDescent="0.3">
      <c r="A8" t="s">
        <v>43</v>
      </c>
      <c r="B8">
        <v>7</v>
      </c>
      <c r="C8">
        <v>110123</v>
      </c>
      <c r="D8">
        <v>110121</v>
      </c>
      <c r="E8">
        <v>110151</v>
      </c>
      <c r="F8">
        <v>110132</v>
      </c>
      <c r="G8">
        <f t="shared" ca="1" si="2"/>
        <v>110121</v>
      </c>
      <c r="H8">
        <f t="shared" ca="1" si="3"/>
        <v>1.8161840157644773</v>
      </c>
      <c r="I8">
        <f t="shared" ca="1" si="4"/>
        <v>0</v>
      </c>
      <c r="J8">
        <f t="shared" ca="1" si="5"/>
        <v>27.242760236467159</v>
      </c>
      <c r="K8">
        <f t="shared" ca="1" si="6"/>
        <v>9.9890120867046246</v>
      </c>
      <c r="M8" t="s">
        <v>1</v>
      </c>
      <c r="N8">
        <f t="shared" ca="1" si="7"/>
        <v>1.6657366303813705</v>
      </c>
      <c r="O8">
        <f t="shared" ca="1" si="8"/>
        <v>0</v>
      </c>
      <c r="P8">
        <f t="shared" ca="1" si="9"/>
        <v>3.3314732607627411</v>
      </c>
      <c r="Q8">
        <f t="shared" ca="1" si="10"/>
        <v>0</v>
      </c>
      <c r="S8" t="s">
        <v>1</v>
      </c>
      <c r="T8">
        <f t="shared" ca="1" si="11"/>
        <v>1.6657366303813705</v>
      </c>
      <c r="U8">
        <f t="shared" ca="1" si="1"/>
        <v>0</v>
      </c>
      <c r="V8">
        <f t="shared" ca="1" si="1"/>
        <v>3.3314732607627411</v>
      </c>
      <c r="W8">
        <f t="shared" ca="1" si="1"/>
        <v>0</v>
      </c>
    </row>
    <row r="9" spans="1:23" x14ac:dyDescent="0.3">
      <c r="A9" t="s">
        <v>43</v>
      </c>
      <c r="B9">
        <v>8</v>
      </c>
      <c r="C9">
        <v>110123</v>
      </c>
      <c r="D9">
        <v>110121</v>
      </c>
      <c r="E9">
        <v>110147</v>
      </c>
      <c r="F9">
        <v>110121</v>
      </c>
      <c r="G9">
        <f t="shared" ca="1" si="2"/>
        <v>110121</v>
      </c>
      <c r="H9">
        <f t="shared" ca="1" si="3"/>
        <v>1.8161840157644773</v>
      </c>
      <c r="I9">
        <f t="shared" ca="1" si="4"/>
        <v>0</v>
      </c>
      <c r="J9">
        <f t="shared" ca="1" si="5"/>
        <v>23.610392204938204</v>
      </c>
      <c r="K9">
        <f t="shared" ca="1" si="6"/>
        <v>0</v>
      </c>
      <c r="M9" t="s">
        <v>7</v>
      </c>
      <c r="N9">
        <f t="shared" ca="1" si="7"/>
        <v>0</v>
      </c>
      <c r="O9">
        <f t="shared" ca="1" si="8"/>
        <v>13.324983010646658</v>
      </c>
      <c r="P9">
        <f t="shared" ca="1" si="9"/>
        <v>21.986221967566991</v>
      </c>
      <c r="Q9">
        <f t="shared" ca="1" si="10"/>
        <v>16.856103508468024</v>
      </c>
      <c r="S9" t="s">
        <v>7</v>
      </c>
      <c r="T9">
        <f t="shared" ca="1" si="11"/>
        <v>0</v>
      </c>
      <c r="U9">
        <f t="shared" ca="1" si="1"/>
        <v>13.324983010646658</v>
      </c>
      <c r="V9">
        <f t="shared" ca="1" si="1"/>
        <v>21.986221967566991</v>
      </c>
      <c r="W9">
        <f t="shared" ca="1" si="1"/>
        <v>16.856103508468024</v>
      </c>
    </row>
    <row r="10" spans="1:23" x14ac:dyDescent="0.3">
      <c r="A10" t="s">
        <v>43</v>
      </c>
      <c r="B10">
        <v>9</v>
      </c>
      <c r="C10">
        <v>110123</v>
      </c>
      <c r="D10">
        <v>110121</v>
      </c>
      <c r="E10">
        <v>110147</v>
      </c>
      <c r="F10">
        <v>110121</v>
      </c>
      <c r="G10">
        <f t="shared" ca="1" si="2"/>
        <v>110121</v>
      </c>
      <c r="H10">
        <f t="shared" ca="1" si="3"/>
        <v>1.8161840157644773</v>
      </c>
      <c r="I10">
        <f t="shared" ca="1" si="4"/>
        <v>0</v>
      </c>
      <c r="J10">
        <f t="shared" ca="1" si="5"/>
        <v>23.610392204938204</v>
      </c>
      <c r="K10">
        <f t="shared" ca="1" si="6"/>
        <v>0</v>
      </c>
      <c r="M10" t="s">
        <v>8</v>
      </c>
      <c r="N10">
        <f t="shared" ca="1" si="7"/>
        <v>0.19988140370047108</v>
      </c>
      <c r="O10">
        <f t="shared" ca="1" si="8"/>
        <v>1.6656783641705917</v>
      </c>
      <c r="P10">
        <f t="shared" ca="1" si="9"/>
        <v>16.656783641705918</v>
      </c>
      <c r="Q10">
        <f t="shared" ca="1" si="10"/>
        <v>13.325426913364733</v>
      </c>
      <c r="S10" t="s">
        <v>8</v>
      </c>
      <c r="T10">
        <f t="shared" ca="1" si="11"/>
        <v>0.19988140370047108</v>
      </c>
      <c r="U10">
        <f t="shared" ca="1" si="1"/>
        <v>1.6656783641705917</v>
      </c>
      <c r="V10">
        <f t="shared" ca="1" si="1"/>
        <v>16.656783641705918</v>
      </c>
      <c r="W10">
        <f t="shared" ca="1" si="1"/>
        <v>13.325426913364733</v>
      </c>
    </row>
    <row r="11" spans="1:23" x14ac:dyDescent="0.3">
      <c r="A11" t="s">
        <v>43</v>
      </c>
      <c r="B11">
        <v>10</v>
      </c>
      <c r="C11">
        <v>110123</v>
      </c>
      <c r="D11">
        <v>110121</v>
      </c>
      <c r="E11">
        <v>110157</v>
      </c>
      <c r="F11">
        <v>110139</v>
      </c>
      <c r="G11">
        <f t="shared" ca="1" si="2"/>
        <v>110121</v>
      </c>
      <c r="H11">
        <f t="shared" ca="1" si="3"/>
        <v>1.8161840157644773</v>
      </c>
      <c r="I11">
        <f t="shared" ca="1" si="4"/>
        <v>0</v>
      </c>
      <c r="J11">
        <f t="shared" ca="1" si="5"/>
        <v>32.691312283760588</v>
      </c>
      <c r="K11">
        <f t="shared" ca="1" si="6"/>
        <v>16.345656141880294</v>
      </c>
      <c r="M11" t="s">
        <v>9</v>
      </c>
      <c r="N11">
        <f t="shared" ca="1" si="7"/>
        <v>1.9975031210986267</v>
      </c>
      <c r="O11">
        <f t="shared" ca="1" si="8"/>
        <v>0</v>
      </c>
      <c r="P11">
        <f t="shared" ca="1" si="9"/>
        <v>11.985018726591761</v>
      </c>
      <c r="Q11">
        <f t="shared" ca="1" si="10"/>
        <v>0</v>
      </c>
      <c r="S11" t="s">
        <v>9</v>
      </c>
      <c r="T11">
        <f t="shared" ca="1" si="11"/>
        <v>1.9975031210986267</v>
      </c>
      <c r="U11">
        <f t="shared" ca="1" si="1"/>
        <v>0</v>
      </c>
      <c r="V11">
        <f t="shared" ca="1" si="1"/>
        <v>11.985018726591761</v>
      </c>
      <c r="W11">
        <f t="shared" ca="1" si="1"/>
        <v>0</v>
      </c>
    </row>
    <row r="12" spans="1:23" x14ac:dyDescent="0.3">
      <c r="A12" t="s">
        <v>2</v>
      </c>
      <c r="B12">
        <v>1</v>
      </c>
      <c r="C12">
        <v>100038</v>
      </c>
      <c r="D12">
        <v>100047</v>
      </c>
      <c r="E12">
        <v>100047</v>
      </c>
      <c r="F12">
        <v>100041</v>
      </c>
      <c r="G12">
        <f t="shared" ca="1" si="2"/>
        <v>100035</v>
      </c>
      <c r="H12">
        <f t="shared" ca="1" si="3"/>
        <v>2.9989503673714202</v>
      </c>
      <c r="I12">
        <f t="shared" ca="1" si="4"/>
        <v>11.995801469485681</v>
      </c>
      <c r="J12">
        <f t="shared" ca="1" si="5"/>
        <v>11.995801469485681</v>
      </c>
      <c r="K12">
        <f t="shared" ca="1" si="6"/>
        <v>5.9979007347428404</v>
      </c>
      <c r="M12" t="s">
        <v>10</v>
      </c>
      <c r="N12">
        <f t="shared" ca="1" si="7"/>
        <v>8.0676725962728959</v>
      </c>
      <c r="O12">
        <f t="shared" ca="1" si="8"/>
        <v>35.945075923988149</v>
      </c>
      <c r="P12">
        <f t="shared" ca="1" si="9"/>
        <v>70.013020105279139</v>
      </c>
      <c r="Q12">
        <f t="shared" ca="1" si="10"/>
        <v>41.057264499844237</v>
      </c>
      <c r="S12" t="s">
        <v>10</v>
      </c>
      <c r="T12">
        <f t="shared" ca="1" si="11"/>
        <v>8.0676725962728959</v>
      </c>
      <c r="U12">
        <f t="shared" ca="1" si="1"/>
        <v>35.945075923988149</v>
      </c>
      <c r="V12">
        <f t="shared" ca="1" si="1"/>
        <v>70.013020105279139</v>
      </c>
      <c r="W12">
        <f t="shared" ca="1" si="1"/>
        <v>41.057264499844237</v>
      </c>
    </row>
    <row r="13" spans="1:23" x14ac:dyDescent="0.3">
      <c r="A13" t="s">
        <v>2</v>
      </c>
      <c r="B13">
        <v>2</v>
      </c>
      <c r="C13">
        <v>100035</v>
      </c>
      <c r="D13">
        <v>100052</v>
      </c>
      <c r="E13">
        <v>100047</v>
      </c>
      <c r="F13">
        <v>100041</v>
      </c>
      <c r="G13">
        <f t="shared" ca="1" si="2"/>
        <v>100035</v>
      </c>
      <c r="H13">
        <f t="shared" ca="1" si="3"/>
        <v>0</v>
      </c>
      <c r="I13">
        <f t="shared" ca="1" si="4"/>
        <v>16.994052081771379</v>
      </c>
      <c r="J13">
        <f t="shared" ca="1" si="5"/>
        <v>11.995801469485681</v>
      </c>
      <c r="K13">
        <f t="shared" ca="1" si="6"/>
        <v>5.9979007347428404</v>
      </c>
      <c r="M13" t="s">
        <v>11</v>
      </c>
      <c r="N13">
        <f t="shared" ca="1" si="7"/>
        <v>5.1863024518363794</v>
      </c>
      <c r="O13">
        <f t="shared" ca="1" si="8"/>
        <v>20.554886781590049</v>
      </c>
      <c r="P13">
        <f t="shared" ca="1" si="9"/>
        <v>18.271010472524491</v>
      </c>
      <c r="Q13">
        <f t="shared" ca="1" si="10"/>
        <v>10.991154737378015</v>
      </c>
      <c r="S13" t="s">
        <v>11</v>
      </c>
      <c r="T13">
        <f t="shared" ca="1" si="11"/>
        <v>5.1863024518363794</v>
      </c>
      <c r="U13">
        <f t="shared" ca="1" si="1"/>
        <v>20.554886781590049</v>
      </c>
      <c r="V13">
        <f t="shared" ca="1" si="1"/>
        <v>18.271010472524491</v>
      </c>
      <c r="W13">
        <f t="shared" ca="1" si="1"/>
        <v>10.991154737378015</v>
      </c>
    </row>
    <row r="14" spans="1:23" x14ac:dyDescent="0.3">
      <c r="A14" t="s">
        <v>44</v>
      </c>
      <c r="B14">
        <v>3</v>
      </c>
      <c r="C14">
        <v>100039</v>
      </c>
      <c r="D14">
        <v>100047</v>
      </c>
      <c r="E14">
        <v>100048</v>
      </c>
      <c r="F14">
        <v>100045</v>
      </c>
      <c r="G14">
        <f t="shared" ca="1" si="2"/>
        <v>100035</v>
      </c>
      <c r="H14">
        <f t="shared" ca="1" si="3"/>
        <v>3.9986004898285601</v>
      </c>
      <c r="I14">
        <f t="shared" ca="1" si="4"/>
        <v>11.995801469485681</v>
      </c>
      <c r="J14">
        <f t="shared" ca="1" si="5"/>
        <v>12.995451591942819</v>
      </c>
      <c r="K14">
        <f t="shared" ca="1" si="6"/>
        <v>9.9965012245714</v>
      </c>
      <c r="M14" t="s">
        <v>12</v>
      </c>
      <c r="N14">
        <f t="shared" ca="1" si="7"/>
        <v>5.9904722964427988</v>
      </c>
      <c r="O14">
        <f t="shared" ca="1" si="8"/>
        <v>8.1299266880295153</v>
      </c>
      <c r="P14">
        <f t="shared" ca="1" si="9"/>
        <v>62.709785388952824</v>
      </c>
      <c r="Q14">
        <f t="shared" ca="1" si="10"/>
        <v>18.304220905797443</v>
      </c>
      <c r="S14" t="s">
        <v>12</v>
      </c>
      <c r="T14">
        <f t="shared" ca="1" si="11"/>
        <v>5.9904722964427988</v>
      </c>
      <c r="U14">
        <f t="shared" ca="1" si="1"/>
        <v>8.1299266880295153</v>
      </c>
      <c r="V14">
        <f t="shared" ca="1" si="1"/>
        <v>62.709785388952824</v>
      </c>
      <c r="W14">
        <f t="shared" ca="1" si="1"/>
        <v>18.304220905797443</v>
      </c>
    </row>
    <row r="15" spans="1:23" x14ac:dyDescent="0.3">
      <c r="A15" t="s">
        <v>44</v>
      </c>
      <c r="B15">
        <v>4</v>
      </c>
      <c r="C15">
        <v>100035</v>
      </c>
      <c r="D15">
        <v>100053</v>
      </c>
      <c r="E15">
        <v>100048</v>
      </c>
      <c r="F15">
        <v>100045</v>
      </c>
      <c r="G15">
        <f t="shared" ca="1" si="2"/>
        <v>100035</v>
      </c>
      <c r="H15">
        <f t="shared" ca="1" si="3"/>
        <v>0</v>
      </c>
      <c r="I15">
        <f t="shared" ca="1" si="4"/>
        <v>17.993702204228519</v>
      </c>
      <c r="J15">
        <f t="shared" ca="1" si="5"/>
        <v>12.995451591942819</v>
      </c>
      <c r="K15">
        <f t="shared" ca="1" si="6"/>
        <v>9.9965012245714</v>
      </c>
      <c r="M15" t="s">
        <v>13</v>
      </c>
      <c r="N15">
        <f t="shared" ca="1" si="7"/>
        <v>8.7888975882343914</v>
      </c>
      <c r="O15">
        <f t="shared" ca="1" si="8"/>
        <v>31.893335789619119</v>
      </c>
      <c r="P15">
        <f t="shared" ca="1" si="9"/>
        <v>59.027617863338399</v>
      </c>
      <c r="Q15">
        <f t="shared" ca="1" si="10"/>
        <v>32.929581356790862</v>
      </c>
      <c r="S15" t="s">
        <v>13</v>
      </c>
      <c r="T15">
        <f t="shared" ca="1" si="11"/>
        <v>8.7888975882343914</v>
      </c>
      <c r="U15">
        <f t="shared" ca="1" si="1"/>
        <v>31.893335789619119</v>
      </c>
      <c r="V15">
        <f t="shared" ca="1" si="1"/>
        <v>59.027617863338399</v>
      </c>
      <c r="W15">
        <f t="shared" ca="1" si="1"/>
        <v>32.929581356790862</v>
      </c>
    </row>
    <row r="16" spans="1:23" x14ac:dyDescent="0.3">
      <c r="A16" t="s">
        <v>44</v>
      </c>
      <c r="B16">
        <v>5</v>
      </c>
      <c r="C16">
        <v>100035</v>
      </c>
      <c r="D16">
        <v>100052</v>
      </c>
      <c r="E16">
        <v>100046</v>
      </c>
      <c r="F16">
        <v>100045</v>
      </c>
      <c r="G16">
        <f t="shared" ca="1" si="2"/>
        <v>100035</v>
      </c>
      <c r="H16">
        <f t="shared" ca="1" si="3"/>
        <v>0</v>
      </c>
      <c r="I16">
        <f t="shared" ca="1" si="4"/>
        <v>16.994052081771379</v>
      </c>
      <c r="J16">
        <f t="shared" ca="1" si="5"/>
        <v>10.99615134702854</v>
      </c>
      <c r="K16">
        <f t="shared" ca="1" si="6"/>
        <v>9.9965012245714</v>
      </c>
      <c r="M16" t="s">
        <v>14</v>
      </c>
      <c r="N16">
        <f t="shared" ca="1" si="7"/>
        <v>6.7264691817355331</v>
      </c>
      <c r="O16">
        <f t="shared" ca="1" si="8"/>
        <v>42.7235894121171</v>
      </c>
      <c r="P16">
        <f t="shared" ca="1" si="9"/>
        <v>59.644863447420548</v>
      </c>
      <c r="Q16">
        <f t="shared" ca="1" si="10"/>
        <v>26.643124024530589</v>
      </c>
      <c r="S16" t="s">
        <v>14</v>
      </c>
      <c r="T16">
        <f t="shared" ca="1" si="11"/>
        <v>6.7264691817355331</v>
      </c>
      <c r="U16">
        <f t="shared" ca="1" si="1"/>
        <v>42.7235894121171</v>
      </c>
      <c r="V16">
        <f t="shared" ca="1" si="1"/>
        <v>59.644863447420548</v>
      </c>
      <c r="W16">
        <f t="shared" ca="1" si="1"/>
        <v>26.643124024530589</v>
      </c>
    </row>
    <row r="17" spans="1:23" x14ac:dyDescent="0.3">
      <c r="A17" t="s">
        <v>44</v>
      </c>
      <c r="B17">
        <v>6</v>
      </c>
      <c r="C17">
        <v>100039</v>
      </c>
      <c r="D17">
        <v>100053</v>
      </c>
      <c r="E17">
        <v>100048</v>
      </c>
      <c r="F17">
        <v>100041</v>
      </c>
      <c r="G17">
        <f t="shared" ca="1" si="2"/>
        <v>100035</v>
      </c>
      <c r="H17">
        <f t="shared" ca="1" si="3"/>
        <v>3.9986004898285601</v>
      </c>
      <c r="I17">
        <f t="shared" ca="1" si="4"/>
        <v>17.993702204228519</v>
      </c>
      <c r="J17">
        <f t="shared" ca="1" si="5"/>
        <v>12.995451591942819</v>
      </c>
      <c r="K17">
        <f t="shared" ca="1" si="6"/>
        <v>5.9979007347428404</v>
      </c>
      <c r="M17" t="s">
        <v>15</v>
      </c>
      <c r="N17">
        <f t="shared" ca="1" si="7"/>
        <v>7.3483015040056214</v>
      </c>
      <c r="O17">
        <f t="shared" ca="1" si="8"/>
        <v>16.773296911317182</v>
      </c>
      <c r="P17">
        <f t="shared" ca="1" si="9"/>
        <v>27.316512112716556</v>
      </c>
      <c r="Q17">
        <f t="shared" ca="1" si="10"/>
        <v>4.2731970702641391</v>
      </c>
      <c r="S17" t="s">
        <v>15</v>
      </c>
      <c r="T17">
        <f t="shared" ca="1" si="11"/>
        <v>7.3483015040056214</v>
      </c>
      <c r="U17">
        <f t="shared" ca="1" si="1"/>
        <v>16.773296911317182</v>
      </c>
      <c r="V17">
        <f t="shared" ca="1" si="1"/>
        <v>27.316512112716556</v>
      </c>
      <c r="W17">
        <f t="shared" ca="1" si="1"/>
        <v>4.2731970702641391</v>
      </c>
    </row>
    <row r="18" spans="1:23" x14ac:dyDescent="0.3">
      <c r="A18" t="s">
        <v>44</v>
      </c>
      <c r="B18">
        <v>7</v>
      </c>
      <c r="C18">
        <v>100035</v>
      </c>
      <c r="D18">
        <v>100053</v>
      </c>
      <c r="E18">
        <v>100048</v>
      </c>
      <c r="F18">
        <v>100045</v>
      </c>
      <c r="G18">
        <f t="shared" ca="1" si="2"/>
        <v>100035</v>
      </c>
      <c r="H18">
        <f t="shared" ca="1" si="3"/>
        <v>0</v>
      </c>
      <c r="I18">
        <f t="shared" ca="1" si="4"/>
        <v>17.993702204228519</v>
      </c>
      <c r="J18">
        <f t="shared" ca="1" si="5"/>
        <v>12.995451591942819</v>
      </c>
      <c r="K18">
        <f t="shared" ca="1" si="6"/>
        <v>9.9965012245714</v>
      </c>
      <c r="M18" t="s">
        <v>26</v>
      </c>
      <c r="N18">
        <f t="shared" ca="1" si="7"/>
        <v>5.9528517490144495</v>
      </c>
      <c r="O18">
        <f t="shared" ca="1" si="8"/>
        <v>19.232290266046682</v>
      </c>
      <c r="P18">
        <f t="shared" ca="1" si="9"/>
        <v>27.766098717431031</v>
      </c>
      <c r="Q18">
        <f t="shared" ca="1" si="10"/>
        <v>24.435832004695676</v>
      </c>
      <c r="S18" t="s">
        <v>26</v>
      </c>
      <c r="T18">
        <f t="shared" ca="1" si="11"/>
        <v>5.9528517490144495</v>
      </c>
      <c r="U18">
        <f t="shared" ref="U18:U31" ca="1" si="12">MIN(O18,101)</f>
        <v>19.232290266046682</v>
      </c>
      <c r="V18">
        <f t="shared" ref="V18:V31" ca="1" si="13">MIN(P18,101)</f>
        <v>27.766098717431031</v>
      </c>
      <c r="W18">
        <f t="shared" ref="W18:W31" ca="1" si="14">MIN(Q18,101)</f>
        <v>24.435832004695676</v>
      </c>
    </row>
    <row r="19" spans="1:23" x14ac:dyDescent="0.3">
      <c r="A19" t="s">
        <v>44</v>
      </c>
      <c r="B19">
        <v>8</v>
      </c>
      <c r="C19">
        <v>100040</v>
      </c>
      <c r="D19">
        <v>100053</v>
      </c>
      <c r="E19">
        <v>100041</v>
      </c>
      <c r="F19">
        <v>100045</v>
      </c>
      <c r="G19">
        <f t="shared" ca="1" si="2"/>
        <v>100035</v>
      </c>
      <c r="H19">
        <f t="shared" ca="1" si="3"/>
        <v>4.9982506122857</v>
      </c>
      <c r="I19">
        <f t="shared" ca="1" si="4"/>
        <v>17.993702204228519</v>
      </c>
      <c r="J19">
        <f t="shared" ca="1" si="5"/>
        <v>5.9979007347428404</v>
      </c>
      <c r="K19">
        <f t="shared" ca="1" si="6"/>
        <v>9.9965012245714</v>
      </c>
      <c r="M19" t="s">
        <v>27</v>
      </c>
      <c r="N19">
        <f t="shared" ca="1" si="7"/>
        <v>4.4288517984611904</v>
      </c>
      <c r="O19">
        <f t="shared" ca="1" si="8"/>
        <v>32.261145943692796</v>
      </c>
      <c r="P19">
        <f t="shared" ca="1" si="9"/>
        <v>47.241085850252702</v>
      </c>
      <c r="Q19">
        <f t="shared" ca="1" si="10"/>
        <v>38.296542021987946</v>
      </c>
      <c r="S19" t="s">
        <v>27</v>
      </c>
      <c r="T19">
        <f t="shared" ca="1" si="11"/>
        <v>4.4288517984611904</v>
      </c>
      <c r="U19">
        <f t="shared" ca="1" si="12"/>
        <v>32.261145943692796</v>
      </c>
      <c r="V19">
        <f t="shared" ca="1" si="13"/>
        <v>47.241085850252702</v>
      </c>
      <c r="W19">
        <f t="shared" ca="1" si="14"/>
        <v>38.296542021987946</v>
      </c>
    </row>
    <row r="20" spans="1:23" x14ac:dyDescent="0.3">
      <c r="A20" t="s">
        <v>44</v>
      </c>
      <c r="B20">
        <v>9</v>
      </c>
      <c r="C20">
        <v>100038</v>
      </c>
      <c r="D20">
        <v>100047</v>
      </c>
      <c r="E20">
        <v>100047</v>
      </c>
      <c r="F20">
        <v>100045</v>
      </c>
      <c r="G20">
        <f t="shared" ca="1" si="2"/>
        <v>100035</v>
      </c>
      <c r="H20">
        <f t="shared" ca="1" si="3"/>
        <v>2.9989503673714202</v>
      </c>
      <c r="I20">
        <f t="shared" ca="1" si="4"/>
        <v>11.995801469485681</v>
      </c>
      <c r="J20">
        <f t="shared" ca="1" si="5"/>
        <v>11.995801469485681</v>
      </c>
      <c r="K20">
        <f t="shared" ca="1" si="6"/>
        <v>9.9965012245714</v>
      </c>
      <c r="M20" t="s">
        <v>28</v>
      </c>
      <c r="N20">
        <f t="shared" ca="1" si="7"/>
        <v>9.5221452287632964</v>
      </c>
      <c r="O20">
        <f t="shared" ca="1" si="8"/>
        <v>15.620597791004963</v>
      </c>
      <c r="P20">
        <f t="shared" ca="1" si="9"/>
        <v>21.398079165760223</v>
      </c>
      <c r="Q20">
        <f t="shared" ca="1" si="10"/>
        <v>13.338136013323872</v>
      </c>
      <c r="S20" t="s">
        <v>28</v>
      </c>
      <c r="T20">
        <f t="shared" ca="1" si="11"/>
        <v>9.5221452287632964</v>
      </c>
      <c r="U20">
        <f t="shared" ca="1" si="12"/>
        <v>15.620597791004963</v>
      </c>
      <c r="V20">
        <f t="shared" ca="1" si="13"/>
        <v>21.398079165760223</v>
      </c>
      <c r="W20">
        <f t="shared" ca="1" si="14"/>
        <v>13.338136013323872</v>
      </c>
    </row>
    <row r="21" spans="1:23" x14ac:dyDescent="0.3">
      <c r="A21" t="s">
        <v>44</v>
      </c>
      <c r="B21">
        <v>10</v>
      </c>
      <c r="C21">
        <v>100040</v>
      </c>
      <c r="D21">
        <v>100047</v>
      </c>
      <c r="E21">
        <v>100038</v>
      </c>
      <c r="F21">
        <v>100041</v>
      </c>
      <c r="G21">
        <f t="shared" ca="1" si="2"/>
        <v>100035</v>
      </c>
      <c r="H21">
        <f t="shared" ca="1" si="3"/>
        <v>4.9982506122857</v>
      </c>
      <c r="I21">
        <f t="shared" ca="1" si="4"/>
        <v>11.995801469485681</v>
      </c>
      <c r="J21">
        <f t="shared" ca="1" si="5"/>
        <v>2.9989503673714202</v>
      </c>
      <c r="K21">
        <f t="shared" ca="1" si="6"/>
        <v>5.9979007347428404</v>
      </c>
      <c r="M21" t="s">
        <v>29</v>
      </c>
      <c r="N21">
        <f t="shared" ca="1" si="7"/>
        <v>5.4118809176027991</v>
      </c>
      <c r="O21">
        <f t="shared" ca="1" si="8"/>
        <v>25.272958459873269</v>
      </c>
      <c r="P21">
        <f t="shared" ca="1" si="9"/>
        <v>66.098506741207004</v>
      </c>
      <c r="Q21">
        <f t="shared" ca="1" si="10"/>
        <v>10.823761835205598</v>
      </c>
      <c r="S21" t="s">
        <v>29</v>
      </c>
      <c r="T21">
        <f t="shared" ca="1" si="11"/>
        <v>5.4118809176027991</v>
      </c>
      <c r="U21">
        <f t="shared" ca="1" si="12"/>
        <v>25.272958459873269</v>
      </c>
      <c r="V21">
        <f t="shared" ca="1" si="13"/>
        <v>66.098506741207004</v>
      </c>
      <c r="W21">
        <f t="shared" ca="1" si="14"/>
        <v>10.823761835205598</v>
      </c>
    </row>
    <row r="22" spans="1:23" x14ac:dyDescent="0.3">
      <c r="A22" t="s">
        <v>3</v>
      </c>
      <c r="B22">
        <v>1</v>
      </c>
      <c r="C22">
        <v>140088</v>
      </c>
      <c r="D22">
        <v>140091</v>
      </c>
      <c r="E22">
        <v>140137</v>
      </c>
      <c r="F22">
        <v>140112</v>
      </c>
      <c r="G22">
        <f t="shared" ca="1" si="2"/>
        <v>140088</v>
      </c>
      <c r="H22">
        <f t="shared" ca="1" si="3"/>
        <v>0</v>
      </c>
      <c r="I22">
        <f t="shared" ca="1" si="4"/>
        <v>2.1415110501970194</v>
      </c>
      <c r="J22">
        <f t="shared" ca="1" si="5"/>
        <v>34.978013819884652</v>
      </c>
      <c r="K22">
        <f t="shared" ca="1" si="6"/>
        <v>17.132088401576155</v>
      </c>
      <c r="M22" t="s">
        <v>16</v>
      </c>
      <c r="N22">
        <f t="shared" ca="1" si="7"/>
        <v>16.271235908598946</v>
      </c>
      <c r="O22">
        <f t="shared" ca="1" si="8"/>
        <v>100.71627488416776</v>
      </c>
      <c r="P22">
        <f t="shared" ca="1" si="9"/>
        <v>128.07821867665479</v>
      </c>
      <c r="Q22">
        <f t="shared" ca="1" si="10"/>
        <v>104.0483515948973</v>
      </c>
      <c r="S22" t="s">
        <v>16</v>
      </c>
      <c r="T22">
        <f t="shared" ca="1" si="11"/>
        <v>16.271235908598946</v>
      </c>
      <c r="U22">
        <f t="shared" ca="1" si="12"/>
        <v>100.71627488416776</v>
      </c>
      <c r="V22">
        <f t="shared" ca="1" si="13"/>
        <v>101</v>
      </c>
      <c r="W22">
        <f t="shared" ca="1" si="14"/>
        <v>101</v>
      </c>
    </row>
    <row r="23" spans="1:23" x14ac:dyDescent="0.3">
      <c r="A23" t="s">
        <v>3</v>
      </c>
      <c r="B23">
        <v>2</v>
      </c>
      <c r="C23">
        <v>140088</v>
      </c>
      <c r="D23">
        <v>140091</v>
      </c>
      <c r="E23">
        <v>140144</v>
      </c>
      <c r="F23">
        <v>140112</v>
      </c>
      <c r="G23">
        <f t="shared" ca="1" si="2"/>
        <v>140088</v>
      </c>
      <c r="H23">
        <f t="shared" ca="1" si="3"/>
        <v>0</v>
      </c>
      <c r="I23">
        <f t="shared" ca="1" si="4"/>
        <v>2.1415110501970194</v>
      </c>
      <c r="J23">
        <f t="shared" ca="1" si="5"/>
        <v>39.974872937011021</v>
      </c>
      <c r="K23">
        <f t="shared" ca="1" si="6"/>
        <v>17.132088401576155</v>
      </c>
      <c r="M23" t="s">
        <v>22</v>
      </c>
      <c r="N23">
        <f t="shared" ca="1" si="7"/>
        <v>11.035130162106562</v>
      </c>
      <c r="O23">
        <f t="shared" ca="1" si="8"/>
        <v>25.815213999136166</v>
      </c>
      <c r="P23">
        <f t="shared" ca="1" si="9"/>
        <v>32.45626518266635</v>
      </c>
      <c r="Q23">
        <f t="shared" ca="1" si="10"/>
        <v>23.743006299012084</v>
      </c>
      <c r="S23" t="s">
        <v>22</v>
      </c>
      <c r="T23">
        <f t="shared" ca="1" si="11"/>
        <v>11.035130162106562</v>
      </c>
      <c r="U23">
        <f t="shared" ca="1" si="12"/>
        <v>25.815213999136166</v>
      </c>
      <c r="V23">
        <f t="shared" ca="1" si="13"/>
        <v>32.45626518266635</v>
      </c>
      <c r="W23">
        <f t="shared" ca="1" si="14"/>
        <v>23.743006299012084</v>
      </c>
    </row>
    <row r="24" spans="1:23" x14ac:dyDescent="0.3">
      <c r="A24" t="s">
        <v>58</v>
      </c>
      <c r="B24">
        <v>3</v>
      </c>
      <c r="C24">
        <v>140088</v>
      </c>
      <c r="D24">
        <v>140097</v>
      </c>
      <c r="E24">
        <v>140136</v>
      </c>
      <c r="F24">
        <v>140112</v>
      </c>
      <c r="G24">
        <f t="shared" ca="1" si="2"/>
        <v>140088</v>
      </c>
      <c r="H24">
        <f t="shared" ca="1" si="3"/>
        <v>0</v>
      </c>
      <c r="I24">
        <f t="shared" ca="1" si="4"/>
        <v>6.4245331505910563</v>
      </c>
      <c r="J24">
        <f t="shared" ca="1" si="5"/>
        <v>34.26417680315231</v>
      </c>
      <c r="K24">
        <f t="shared" ca="1" si="6"/>
        <v>17.132088401576155</v>
      </c>
      <c r="M24" t="s">
        <v>23</v>
      </c>
      <c r="N24">
        <f t="shared" ca="1" si="7"/>
        <v>15.320840827674175</v>
      </c>
      <c r="O24">
        <f t="shared" ca="1" si="8"/>
        <v>20.552347451758035</v>
      </c>
      <c r="P24">
        <f t="shared" ca="1" si="9"/>
        <v>60.610741030457326</v>
      </c>
      <c r="Q24">
        <f t="shared" ca="1" si="10"/>
        <v>62.927551106837328</v>
      </c>
      <c r="S24" t="s">
        <v>23</v>
      </c>
      <c r="T24">
        <f t="shared" ca="1" si="11"/>
        <v>15.320840827674175</v>
      </c>
      <c r="U24">
        <f t="shared" ca="1" si="12"/>
        <v>20.552347451758035</v>
      </c>
      <c r="V24">
        <f t="shared" ca="1" si="13"/>
        <v>60.610741030457326</v>
      </c>
      <c r="W24">
        <f t="shared" ca="1" si="14"/>
        <v>62.927551106837328</v>
      </c>
    </row>
    <row r="25" spans="1:23" x14ac:dyDescent="0.3">
      <c r="A25" t="s">
        <v>58</v>
      </c>
      <c r="B25">
        <v>4</v>
      </c>
      <c r="C25">
        <v>140088</v>
      </c>
      <c r="D25">
        <v>140097</v>
      </c>
      <c r="E25">
        <v>140146</v>
      </c>
      <c r="F25">
        <v>140112</v>
      </c>
      <c r="G25">
        <f t="shared" ca="1" si="2"/>
        <v>140088</v>
      </c>
      <c r="H25">
        <f t="shared" ca="1" si="3"/>
        <v>0</v>
      </c>
      <c r="I25">
        <f t="shared" ca="1" si="4"/>
        <v>6.4245331505910563</v>
      </c>
      <c r="J25">
        <f t="shared" ca="1" si="5"/>
        <v>41.402546970475697</v>
      </c>
      <c r="K25">
        <f t="shared" ca="1" si="6"/>
        <v>17.132088401576155</v>
      </c>
      <c r="M25" t="s">
        <v>24</v>
      </c>
      <c r="N25">
        <f t="shared" ca="1" si="7"/>
        <v>20.915187844975964</v>
      </c>
      <c r="O25">
        <f t="shared" ca="1" si="8"/>
        <v>49.356044869131701</v>
      </c>
      <c r="P25">
        <f t="shared" ca="1" si="9"/>
        <v>111.36565968306722</v>
      </c>
      <c r="Q25">
        <f t="shared" ca="1" si="10"/>
        <v>50.827942311116388</v>
      </c>
      <c r="S25" t="s">
        <v>24</v>
      </c>
      <c r="T25">
        <f t="shared" ca="1" si="11"/>
        <v>20.915187844975964</v>
      </c>
      <c r="U25">
        <f t="shared" ca="1" si="12"/>
        <v>49.356044869131701</v>
      </c>
      <c r="V25">
        <f t="shared" ca="1" si="13"/>
        <v>101</v>
      </c>
      <c r="W25">
        <f t="shared" ca="1" si="14"/>
        <v>50.827942311116388</v>
      </c>
    </row>
    <row r="26" spans="1:23" x14ac:dyDescent="0.3">
      <c r="A26" t="s">
        <v>58</v>
      </c>
      <c r="B26">
        <v>5</v>
      </c>
      <c r="C26">
        <v>140088</v>
      </c>
      <c r="D26">
        <v>140097</v>
      </c>
      <c r="E26">
        <v>140144</v>
      </c>
      <c r="F26">
        <v>140112</v>
      </c>
      <c r="G26">
        <f t="shared" ca="1" si="2"/>
        <v>140088</v>
      </c>
      <c r="H26">
        <f t="shared" ca="1" si="3"/>
        <v>0</v>
      </c>
      <c r="I26">
        <f t="shared" ca="1" si="4"/>
        <v>6.4245331505910563</v>
      </c>
      <c r="J26">
        <f t="shared" ca="1" si="5"/>
        <v>39.974872937011021</v>
      </c>
      <c r="K26">
        <f t="shared" ca="1" si="6"/>
        <v>17.132088401576155</v>
      </c>
      <c r="M26" t="s">
        <v>25</v>
      </c>
      <c r="N26">
        <f t="shared" ca="1" si="7"/>
        <v>33.918824639881798</v>
      </c>
      <c r="O26">
        <f t="shared" ca="1" si="8"/>
        <v>152.08214857330466</v>
      </c>
      <c r="P26">
        <f t="shared" ca="1" si="9"/>
        <v>121.4992173255398</v>
      </c>
      <c r="Q26">
        <f t="shared" ca="1" si="10"/>
        <v>121.51387415063698</v>
      </c>
      <c r="S26" t="s">
        <v>25</v>
      </c>
      <c r="T26">
        <f t="shared" ca="1" si="11"/>
        <v>33.918824639881798</v>
      </c>
      <c r="U26">
        <f t="shared" ca="1" si="12"/>
        <v>101</v>
      </c>
      <c r="V26">
        <f t="shared" ca="1" si="13"/>
        <v>101</v>
      </c>
      <c r="W26">
        <f t="shared" ca="1" si="14"/>
        <v>101</v>
      </c>
    </row>
    <row r="27" spans="1:23" x14ac:dyDescent="0.3">
      <c r="A27" t="s">
        <v>58</v>
      </c>
      <c r="B27">
        <v>6</v>
      </c>
      <c r="C27">
        <v>140088</v>
      </c>
      <c r="D27">
        <v>140091</v>
      </c>
      <c r="E27">
        <v>140144</v>
      </c>
      <c r="F27">
        <v>140112</v>
      </c>
      <c r="G27">
        <f t="shared" ca="1" si="2"/>
        <v>140088</v>
      </c>
      <c r="H27">
        <f t="shared" ca="1" si="3"/>
        <v>0</v>
      </c>
      <c r="I27">
        <f t="shared" ca="1" si="4"/>
        <v>2.1415110501970194</v>
      </c>
      <c r="J27">
        <f t="shared" ca="1" si="5"/>
        <v>39.974872937011021</v>
      </c>
      <c r="K27">
        <f t="shared" ca="1" si="6"/>
        <v>17.132088401576155</v>
      </c>
      <c r="M27" t="s">
        <v>17</v>
      </c>
      <c r="N27">
        <f t="shared" ca="1" si="7"/>
        <v>14.400986977879176</v>
      </c>
      <c r="O27">
        <f t="shared" ca="1" si="8"/>
        <v>26.125885037034351</v>
      </c>
      <c r="P27">
        <f t="shared" ca="1" si="9"/>
        <v>113.62038544751917</v>
      </c>
      <c r="Q27">
        <f t="shared" ca="1" si="10"/>
        <v>55.880365218101247</v>
      </c>
      <c r="S27" t="s">
        <v>17</v>
      </c>
      <c r="T27">
        <f t="shared" ca="1" si="11"/>
        <v>14.400986977879176</v>
      </c>
      <c r="U27">
        <f t="shared" ca="1" si="12"/>
        <v>26.125885037034351</v>
      </c>
      <c r="V27">
        <f t="shared" ca="1" si="13"/>
        <v>101</v>
      </c>
      <c r="W27">
        <f t="shared" ca="1" si="14"/>
        <v>55.880365218101247</v>
      </c>
    </row>
    <row r="28" spans="1:23" x14ac:dyDescent="0.3">
      <c r="A28" t="s">
        <v>58</v>
      </c>
      <c r="B28">
        <v>7</v>
      </c>
      <c r="C28">
        <v>140088</v>
      </c>
      <c r="D28">
        <v>140097</v>
      </c>
      <c r="E28">
        <v>140134</v>
      </c>
      <c r="F28">
        <v>140112</v>
      </c>
      <c r="G28">
        <f t="shared" ca="1" si="2"/>
        <v>140088</v>
      </c>
      <c r="H28">
        <f t="shared" ca="1" si="3"/>
        <v>0</v>
      </c>
      <c r="I28">
        <f t="shared" ca="1" si="4"/>
        <v>6.4245331505910563</v>
      </c>
      <c r="J28">
        <f t="shared" ca="1" si="5"/>
        <v>32.836502769687627</v>
      </c>
      <c r="K28">
        <f t="shared" ca="1" si="6"/>
        <v>17.132088401576155</v>
      </c>
      <c r="M28" t="s">
        <v>18</v>
      </c>
      <c r="N28">
        <f t="shared" ca="1" si="7"/>
        <v>11.126639170639308</v>
      </c>
      <c r="O28">
        <f t="shared" ca="1" si="8"/>
        <v>28.827003890671641</v>
      </c>
      <c r="P28">
        <f t="shared" ca="1" si="9"/>
        <v>47.622989535602812</v>
      </c>
      <c r="Q28">
        <f t="shared" ca="1" si="10"/>
        <v>24.614950112727222</v>
      </c>
      <c r="S28" t="s">
        <v>18</v>
      </c>
      <c r="T28">
        <f t="shared" ca="1" si="11"/>
        <v>11.126639170639308</v>
      </c>
      <c r="U28">
        <f t="shared" ca="1" si="12"/>
        <v>28.827003890671641</v>
      </c>
      <c r="V28">
        <f t="shared" ca="1" si="13"/>
        <v>47.622989535602812</v>
      </c>
      <c r="W28">
        <f t="shared" ca="1" si="14"/>
        <v>24.614950112727222</v>
      </c>
    </row>
    <row r="29" spans="1:23" x14ac:dyDescent="0.3">
      <c r="A29" t="s">
        <v>58</v>
      </c>
      <c r="B29">
        <v>8</v>
      </c>
      <c r="C29">
        <v>140088</v>
      </c>
      <c r="D29">
        <v>140097</v>
      </c>
      <c r="E29">
        <v>140149</v>
      </c>
      <c r="F29">
        <v>140112</v>
      </c>
      <c r="G29">
        <f t="shared" ca="1" si="2"/>
        <v>140088</v>
      </c>
      <c r="H29">
        <f t="shared" ca="1" si="3"/>
        <v>0</v>
      </c>
      <c r="I29">
        <f t="shared" ca="1" si="4"/>
        <v>6.4245331505910563</v>
      </c>
      <c r="J29">
        <f t="shared" ca="1" si="5"/>
        <v>43.544058020672722</v>
      </c>
      <c r="K29">
        <f t="shared" ca="1" si="6"/>
        <v>17.132088401576155</v>
      </c>
      <c r="M29" t="s">
        <v>19</v>
      </c>
      <c r="N29">
        <f t="shared" ca="1" si="7"/>
        <v>31.795233375682631</v>
      </c>
      <c r="O29">
        <f t="shared" ca="1" si="8"/>
        <v>42.770575440510321</v>
      </c>
      <c r="P29">
        <f t="shared" ca="1" si="9"/>
        <v>68.024948393719882</v>
      </c>
      <c r="Q29">
        <f t="shared" ca="1" si="10"/>
        <v>47.027677817170755</v>
      </c>
      <c r="S29" t="s">
        <v>19</v>
      </c>
      <c r="T29">
        <f t="shared" ca="1" si="11"/>
        <v>31.795233375682631</v>
      </c>
      <c r="U29">
        <f t="shared" ca="1" si="12"/>
        <v>42.770575440510321</v>
      </c>
      <c r="V29">
        <f t="shared" ca="1" si="13"/>
        <v>68.024948393719882</v>
      </c>
      <c r="W29">
        <f t="shared" ca="1" si="14"/>
        <v>47.027677817170755</v>
      </c>
    </row>
    <row r="30" spans="1:23" x14ac:dyDescent="0.3">
      <c r="A30" t="s">
        <v>58</v>
      </c>
      <c r="B30">
        <v>9</v>
      </c>
      <c r="C30">
        <v>140088</v>
      </c>
      <c r="D30">
        <v>140091</v>
      </c>
      <c r="E30">
        <v>140146</v>
      </c>
      <c r="F30">
        <v>140112</v>
      </c>
      <c r="G30">
        <f t="shared" ca="1" si="2"/>
        <v>140088</v>
      </c>
      <c r="H30">
        <f t="shared" ca="1" si="3"/>
        <v>0</v>
      </c>
      <c r="I30">
        <f t="shared" ca="1" si="4"/>
        <v>2.1415110501970194</v>
      </c>
      <c r="J30">
        <f t="shared" ca="1" si="5"/>
        <v>41.402546970475697</v>
      </c>
      <c r="K30">
        <f t="shared" ca="1" si="6"/>
        <v>17.132088401576155</v>
      </c>
      <c r="M30" t="s">
        <v>20</v>
      </c>
      <c r="N30">
        <f t="shared" ca="1" si="7"/>
        <v>18.234570656587</v>
      </c>
      <c r="O30">
        <f t="shared" ca="1" si="8"/>
        <v>37.751259562465279</v>
      </c>
      <c r="P30">
        <f t="shared" ca="1" si="9"/>
        <v>69.804215794747108</v>
      </c>
      <c r="Q30">
        <f t="shared" ca="1" si="10"/>
        <v>51.878303235211717</v>
      </c>
      <c r="S30" t="s">
        <v>20</v>
      </c>
      <c r="T30">
        <f t="shared" ca="1" si="11"/>
        <v>18.234570656587</v>
      </c>
      <c r="U30">
        <f t="shared" ca="1" si="12"/>
        <v>37.751259562465279</v>
      </c>
      <c r="V30">
        <f t="shared" ca="1" si="13"/>
        <v>69.804215794747108</v>
      </c>
      <c r="W30">
        <f t="shared" ca="1" si="14"/>
        <v>51.878303235211717</v>
      </c>
    </row>
    <row r="31" spans="1:23" x14ac:dyDescent="0.3">
      <c r="A31" t="s">
        <v>58</v>
      </c>
      <c r="B31">
        <v>10</v>
      </c>
      <c r="C31">
        <v>140088</v>
      </c>
      <c r="D31">
        <v>140097</v>
      </c>
      <c r="E31">
        <v>140144</v>
      </c>
      <c r="F31">
        <v>140112</v>
      </c>
      <c r="G31">
        <f t="shared" ca="1" si="2"/>
        <v>140088</v>
      </c>
      <c r="H31">
        <f t="shared" ca="1" si="3"/>
        <v>0</v>
      </c>
      <c r="I31">
        <f t="shared" ca="1" si="4"/>
        <v>6.4245331505910563</v>
      </c>
      <c r="J31">
        <f t="shared" ca="1" si="5"/>
        <v>39.974872937011021</v>
      </c>
      <c r="K31">
        <f t="shared" ca="1" si="6"/>
        <v>17.132088401576155</v>
      </c>
      <c r="M31" t="s">
        <v>21</v>
      </c>
      <c r="N31">
        <f t="shared" ca="1" si="7"/>
        <v>15.967042731360561</v>
      </c>
      <c r="O31">
        <f t="shared" ca="1" si="8"/>
        <v>15.374673523789008</v>
      </c>
      <c r="P31">
        <f t="shared" ca="1" si="9"/>
        <v>92.059560031234014</v>
      </c>
      <c r="Q31">
        <f t="shared" ca="1" si="10"/>
        <v>45.585503109938337</v>
      </c>
      <c r="S31" t="s">
        <v>21</v>
      </c>
      <c r="T31">
        <f t="shared" ca="1" si="11"/>
        <v>15.967042731360561</v>
      </c>
      <c r="U31">
        <f t="shared" ca="1" si="12"/>
        <v>15.374673523789008</v>
      </c>
      <c r="V31">
        <f t="shared" ca="1" si="13"/>
        <v>92.059560031234014</v>
      </c>
      <c r="W31">
        <f t="shared" ca="1" si="14"/>
        <v>45.585503109938337</v>
      </c>
    </row>
    <row r="32" spans="1:23" x14ac:dyDescent="0.3">
      <c r="A32" t="s">
        <v>4</v>
      </c>
      <c r="B32">
        <v>1</v>
      </c>
      <c r="C32">
        <v>120117</v>
      </c>
      <c r="D32">
        <v>120142</v>
      </c>
      <c r="E32">
        <v>120161</v>
      </c>
      <c r="F32">
        <v>120154</v>
      </c>
      <c r="G32">
        <f t="shared" ca="1" si="2"/>
        <v>120117</v>
      </c>
      <c r="H32">
        <f t="shared" ca="1" si="3"/>
        <v>0</v>
      </c>
      <c r="I32">
        <f t="shared" ca="1" si="4"/>
        <v>20.813040618730071</v>
      </c>
      <c r="J32">
        <f t="shared" ca="1" si="5"/>
        <v>36.630951488964925</v>
      </c>
      <c r="K32">
        <f t="shared" ca="1" si="6"/>
        <v>30.803300115720507</v>
      </c>
    </row>
    <row r="33" spans="1:11" x14ac:dyDescent="0.3">
      <c r="A33" t="s">
        <v>4</v>
      </c>
      <c r="B33">
        <v>2</v>
      </c>
      <c r="C33">
        <v>120117</v>
      </c>
      <c r="D33">
        <v>120151</v>
      </c>
      <c r="E33">
        <v>120168</v>
      </c>
      <c r="F33">
        <v>120161</v>
      </c>
      <c r="G33">
        <f t="shared" ca="1" si="2"/>
        <v>120117</v>
      </c>
      <c r="H33">
        <f t="shared" ca="1" si="3"/>
        <v>0</v>
      </c>
      <c r="I33">
        <f t="shared" ca="1" si="4"/>
        <v>28.305735241472899</v>
      </c>
      <c r="J33">
        <f t="shared" ca="1" si="5"/>
        <v>42.458602862209354</v>
      </c>
      <c r="K33">
        <f t="shared" ca="1" si="6"/>
        <v>36.630951488964925</v>
      </c>
    </row>
    <row r="34" spans="1:11" x14ac:dyDescent="0.3">
      <c r="A34" t="s">
        <v>59</v>
      </c>
      <c r="B34">
        <v>3</v>
      </c>
      <c r="C34">
        <v>120117</v>
      </c>
      <c r="D34">
        <v>120142</v>
      </c>
      <c r="E34">
        <v>120173</v>
      </c>
      <c r="F34">
        <v>120146</v>
      </c>
      <c r="G34">
        <f t="shared" ca="1" si="2"/>
        <v>120117</v>
      </c>
      <c r="H34">
        <f t="shared" ca="1" si="3"/>
        <v>0</v>
      </c>
      <c r="I34">
        <f t="shared" ca="1" si="4"/>
        <v>20.813040618730071</v>
      </c>
      <c r="J34">
        <f t="shared" ca="1" si="5"/>
        <v>46.621210985955365</v>
      </c>
      <c r="K34">
        <f t="shared" ca="1" si="6"/>
        <v>24.143127117726884</v>
      </c>
    </row>
    <row r="35" spans="1:11" x14ac:dyDescent="0.3">
      <c r="A35" t="s">
        <v>59</v>
      </c>
      <c r="B35">
        <v>4</v>
      </c>
      <c r="C35">
        <v>120117</v>
      </c>
      <c r="D35">
        <v>120151</v>
      </c>
      <c r="E35">
        <v>120167</v>
      </c>
      <c r="F35">
        <v>120146</v>
      </c>
      <c r="G35">
        <f t="shared" ca="1" si="2"/>
        <v>120117</v>
      </c>
      <c r="H35">
        <f t="shared" ca="1" si="3"/>
        <v>0</v>
      </c>
      <c r="I35">
        <f t="shared" ca="1" si="4"/>
        <v>28.305735241472899</v>
      </c>
      <c r="J35">
        <f t="shared" ca="1" si="5"/>
        <v>41.626081237460141</v>
      </c>
      <c r="K35">
        <f t="shared" ca="1" si="6"/>
        <v>24.143127117726884</v>
      </c>
    </row>
    <row r="36" spans="1:11" x14ac:dyDescent="0.3">
      <c r="A36" t="s">
        <v>59</v>
      </c>
      <c r="B36">
        <v>5</v>
      </c>
      <c r="C36">
        <v>120117</v>
      </c>
      <c r="D36">
        <v>120142</v>
      </c>
      <c r="E36">
        <v>120168</v>
      </c>
      <c r="F36">
        <v>120161</v>
      </c>
      <c r="G36">
        <f t="shared" ca="1" si="2"/>
        <v>120117</v>
      </c>
      <c r="H36">
        <f t="shared" ca="1" si="3"/>
        <v>0</v>
      </c>
      <c r="I36">
        <f t="shared" ca="1" si="4"/>
        <v>20.813040618730071</v>
      </c>
      <c r="J36">
        <f t="shared" ca="1" si="5"/>
        <v>42.458602862209354</v>
      </c>
      <c r="K36">
        <f t="shared" ca="1" si="6"/>
        <v>36.630951488964925</v>
      </c>
    </row>
    <row r="37" spans="1:11" x14ac:dyDescent="0.3">
      <c r="A37" t="s">
        <v>59</v>
      </c>
      <c r="B37">
        <v>6</v>
      </c>
      <c r="C37">
        <v>120117</v>
      </c>
      <c r="D37">
        <v>120151</v>
      </c>
      <c r="E37">
        <v>120167</v>
      </c>
      <c r="F37">
        <v>120146</v>
      </c>
      <c r="G37">
        <f t="shared" ca="1" si="2"/>
        <v>120117</v>
      </c>
      <c r="H37">
        <f t="shared" ca="1" si="3"/>
        <v>0</v>
      </c>
      <c r="I37">
        <f t="shared" ca="1" si="4"/>
        <v>28.305735241472899</v>
      </c>
      <c r="J37">
        <f t="shared" ca="1" si="5"/>
        <v>41.626081237460141</v>
      </c>
      <c r="K37">
        <f t="shared" ca="1" si="6"/>
        <v>24.143127117726884</v>
      </c>
    </row>
    <row r="38" spans="1:11" x14ac:dyDescent="0.3">
      <c r="A38" t="s">
        <v>59</v>
      </c>
      <c r="B38">
        <v>7</v>
      </c>
      <c r="C38">
        <v>120117</v>
      </c>
      <c r="D38">
        <v>120142</v>
      </c>
      <c r="E38">
        <v>120164</v>
      </c>
      <c r="F38">
        <v>120146</v>
      </c>
      <c r="G38">
        <f t="shared" ca="1" si="2"/>
        <v>120117</v>
      </c>
      <c r="H38">
        <f t="shared" ca="1" si="3"/>
        <v>0</v>
      </c>
      <c r="I38">
        <f t="shared" ca="1" si="4"/>
        <v>20.813040618730071</v>
      </c>
      <c r="J38">
        <f t="shared" ca="1" si="5"/>
        <v>39.128516363212533</v>
      </c>
      <c r="K38">
        <f t="shared" ca="1" si="6"/>
        <v>24.143127117726884</v>
      </c>
    </row>
    <row r="39" spans="1:11" x14ac:dyDescent="0.3">
      <c r="A39" t="s">
        <v>59</v>
      </c>
      <c r="B39">
        <v>8</v>
      </c>
      <c r="C39">
        <v>120117</v>
      </c>
      <c r="D39">
        <v>120151</v>
      </c>
      <c r="E39">
        <v>120156</v>
      </c>
      <c r="F39">
        <v>120155</v>
      </c>
      <c r="G39">
        <f t="shared" ca="1" si="2"/>
        <v>120117</v>
      </c>
      <c r="H39">
        <f t="shared" ca="1" si="3"/>
        <v>0</v>
      </c>
      <c r="I39">
        <f t="shared" ca="1" si="4"/>
        <v>28.305735241472899</v>
      </c>
      <c r="J39">
        <f t="shared" ca="1" si="5"/>
        <v>32.468343365218914</v>
      </c>
      <c r="K39">
        <f t="shared" ca="1" si="6"/>
        <v>31.635821740469709</v>
      </c>
    </row>
    <row r="40" spans="1:11" x14ac:dyDescent="0.3">
      <c r="A40" t="s">
        <v>59</v>
      </c>
      <c r="B40">
        <v>9</v>
      </c>
      <c r="C40">
        <v>120117</v>
      </c>
      <c r="D40">
        <v>120151</v>
      </c>
      <c r="E40">
        <v>120166</v>
      </c>
      <c r="F40">
        <v>120146</v>
      </c>
      <c r="G40">
        <f t="shared" ca="1" si="2"/>
        <v>120117</v>
      </c>
      <c r="H40">
        <f t="shared" ca="1" si="3"/>
        <v>0</v>
      </c>
      <c r="I40">
        <f t="shared" ca="1" si="4"/>
        <v>28.305735241472899</v>
      </c>
      <c r="J40">
        <f t="shared" ca="1" si="5"/>
        <v>40.793559612710936</v>
      </c>
      <c r="K40">
        <f t="shared" ca="1" si="6"/>
        <v>24.143127117726884</v>
      </c>
    </row>
    <row r="41" spans="1:11" x14ac:dyDescent="0.3">
      <c r="A41" t="s">
        <v>59</v>
      </c>
      <c r="B41">
        <v>10</v>
      </c>
      <c r="C41">
        <v>120117</v>
      </c>
      <c r="D41">
        <v>120142</v>
      </c>
      <c r="E41">
        <v>120171</v>
      </c>
      <c r="F41">
        <v>120146</v>
      </c>
      <c r="G41">
        <f t="shared" ca="1" si="2"/>
        <v>120117</v>
      </c>
      <c r="H41">
        <f t="shared" ca="1" si="3"/>
        <v>0</v>
      </c>
      <c r="I41">
        <f t="shared" ca="1" si="4"/>
        <v>20.813040618730071</v>
      </c>
      <c r="J41">
        <f t="shared" ca="1" si="5"/>
        <v>44.956167736456955</v>
      </c>
      <c r="K41">
        <f t="shared" ca="1" si="6"/>
        <v>24.143127117726884</v>
      </c>
    </row>
    <row r="42" spans="1:11" x14ac:dyDescent="0.3">
      <c r="A42" t="s">
        <v>5</v>
      </c>
      <c r="B42">
        <v>1</v>
      </c>
      <c r="C42">
        <v>80068</v>
      </c>
      <c r="D42">
        <v>80087</v>
      </c>
      <c r="E42">
        <v>80085</v>
      </c>
      <c r="F42">
        <v>80089</v>
      </c>
      <c r="G42">
        <f t="shared" ca="1" si="2"/>
        <v>80068</v>
      </c>
      <c r="H42">
        <f t="shared" ca="1" si="3"/>
        <v>0</v>
      </c>
      <c r="I42">
        <f t="shared" ca="1" si="4"/>
        <v>23.729829644801917</v>
      </c>
      <c r="J42">
        <f t="shared" ca="1" si="5"/>
        <v>21.231952840085928</v>
      </c>
      <c r="K42">
        <f t="shared" ca="1" si="6"/>
        <v>26.22770644951791</v>
      </c>
    </row>
    <row r="43" spans="1:11" x14ac:dyDescent="0.3">
      <c r="A43" t="s">
        <v>5</v>
      </c>
      <c r="B43">
        <v>2</v>
      </c>
      <c r="C43">
        <v>80068</v>
      </c>
      <c r="D43">
        <v>80087</v>
      </c>
      <c r="E43">
        <v>80087</v>
      </c>
      <c r="F43">
        <v>80089</v>
      </c>
      <c r="G43">
        <f t="shared" ca="1" si="2"/>
        <v>80068</v>
      </c>
      <c r="H43">
        <f t="shared" ca="1" si="3"/>
        <v>0</v>
      </c>
      <c r="I43">
        <f t="shared" ca="1" si="4"/>
        <v>23.729829644801917</v>
      </c>
      <c r="J43">
        <f t="shared" ca="1" si="5"/>
        <v>23.729829644801917</v>
      </c>
      <c r="K43">
        <f t="shared" ca="1" si="6"/>
        <v>26.22770644951791</v>
      </c>
    </row>
    <row r="44" spans="1:11" x14ac:dyDescent="0.3">
      <c r="A44" t="s">
        <v>60</v>
      </c>
      <c r="B44">
        <v>3</v>
      </c>
      <c r="C44">
        <v>80068</v>
      </c>
      <c r="D44">
        <v>80087</v>
      </c>
      <c r="E44">
        <v>80087</v>
      </c>
      <c r="F44">
        <v>80090</v>
      </c>
      <c r="G44">
        <f t="shared" ca="1" si="2"/>
        <v>80068</v>
      </c>
      <c r="H44">
        <f t="shared" ca="1" si="3"/>
        <v>0</v>
      </c>
      <c r="I44">
        <f t="shared" ca="1" si="4"/>
        <v>23.729829644801917</v>
      </c>
      <c r="J44">
        <f t="shared" ca="1" si="5"/>
        <v>23.729829644801917</v>
      </c>
      <c r="K44">
        <f t="shared" ca="1" si="6"/>
        <v>27.476644851875903</v>
      </c>
    </row>
    <row r="45" spans="1:11" x14ac:dyDescent="0.3">
      <c r="A45" t="s">
        <v>60</v>
      </c>
      <c r="B45">
        <v>4</v>
      </c>
      <c r="C45">
        <v>80068</v>
      </c>
      <c r="D45">
        <v>80087</v>
      </c>
      <c r="E45">
        <v>80087</v>
      </c>
      <c r="F45">
        <v>80090</v>
      </c>
      <c r="G45">
        <f t="shared" ca="1" si="2"/>
        <v>80068</v>
      </c>
      <c r="H45">
        <f t="shared" ca="1" si="3"/>
        <v>0</v>
      </c>
      <c r="I45">
        <f t="shared" ca="1" si="4"/>
        <v>23.729829644801917</v>
      </c>
      <c r="J45">
        <f t="shared" ca="1" si="5"/>
        <v>23.729829644801917</v>
      </c>
      <c r="K45">
        <f t="shared" ca="1" si="6"/>
        <v>27.476644851875903</v>
      </c>
    </row>
    <row r="46" spans="1:11" x14ac:dyDescent="0.3">
      <c r="A46" t="s">
        <v>60</v>
      </c>
      <c r="B46">
        <v>5</v>
      </c>
      <c r="C46">
        <v>80068</v>
      </c>
      <c r="D46">
        <v>80087</v>
      </c>
      <c r="E46">
        <v>80087</v>
      </c>
      <c r="F46">
        <v>80090</v>
      </c>
      <c r="G46">
        <f t="shared" ca="1" si="2"/>
        <v>80068</v>
      </c>
      <c r="H46">
        <f t="shared" ca="1" si="3"/>
        <v>0</v>
      </c>
      <c r="I46">
        <f t="shared" ca="1" si="4"/>
        <v>23.729829644801917</v>
      </c>
      <c r="J46">
        <f t="shared" ca="1" si="5"/>
        <v>23.729829644801917</v>
      </c>
      <c r="K46">
        <f t="shared" ca="1" si="6"/>
        <v>27.476644851875903</v>
      </c>
    </row>
    <row r="47" spans="1:11" x14ac:dyDescent="0.3">
      <c r="A47" t="s">
        <v>60</v>
      </c>
      <c r="B47">
        <v>6</v>
      </c>
      <c r="C47">
        <v>80068</v>
      </c>
      <c r="D47">
        <v>80087</v>
      </c>
      <c r="E47">
        <v>80087</v>
      </c>
      <c r="F47">
        <v>80090</v>
      </c>
      <c r="G47">
        <f t="shared" ca="1" si="2"/>
        <v>80068</v>
      </c>
      <c r="H47">
        <f t="shared" ca="1" si="3"/>
        <v>0</v>
      </c>
      <c r="I47">
        <f t="shared" ca="1" si="4"/>
        <v>23.729829644801917</v>
      </c>
      <c r="J47">
        <f t="shared" ca="1" si="5"/>
        <v>23.729829644801917</v>
      </c>
      <c r="K47">
        <f t="shared" ca="1" si="6"/>
        <v>27.476644851875903</v>
      </c>
    </row>
    <row r="48" spans="1:11" x14ac:dyDescent="0.3">
      <c r="A48" t="s">
        <v>60</v>
      </c>
      <c r="B48">
        <v>7</v>
      </c>
      <c r="C48">
        <v>80068</v>
      </c>
      <c r="D48">
        <v>80089</v>
      </c>
      <c r="E48">
        <v>80087</v>
      </c>
      <c r="F48">
        <v>80089</v>
      </c>
      <c r="G48">
        <f t="shared" ca="1" si="2"/>
        <v>80068</v>
      </c>
      <c r="H48">
        <f t="shared" ca="1" si="3"/>
        <v>0</v>
      </c>
      <c r="I48">
        <f t="shared" ca="1" si="4"/>
        <v>26.22770644951791</v>
      </c>
      <c r="J48">
        <f t="shared" ca="1" si="5"/>
        <v>23.729829644801917</v>
      </c>
      <c r="K48">
        <f t="shared" ca="1" si="6"/>
        <v>26.22770644951791</v>
      </c>
    </row>
    <row r="49" spans="1:11" x14ac:dyDescent="0.3">
      <c r="A49" t="s">
        <v>60</v>
      </c>
      <c r="B49">
        <v>8</v>
      </c>
      <c r="C49">
        <v>80068</v>
      </c>
      <c r="D49">
        <v>80087</v>
      </c>
      <c r="E49">
        <v>80087</v>
      </c>
      <c r="F49">
        <v>80090</v>
      </c>
      <c r="G49">
        <f t="shared" ca="1" si="2"/>
        <v>80068</v>
      </c>
      <c r="H49">
        <f t="shared" ca="1" si="3"/>
        <v>0</v>
      </c>
      <c r="I49">
        <f t="shared" ca="1" si="4"/>
        <v>23.729829644801917</v>
      </c>
      <c r="J49">
        <f t="shared" ca="1" si="5"/>
        <v>23.729829644801917</v>
      </c>
      <c r="K49">
        <f t="shared" ca="1" si="6"/>
        <v>27.476644851875903</v>
      </c>
    </row>
    <row r="50" spans="1:11" x14ac:dyDescent="0.3">
      <c r="A50" t="s">
        <v>60</v>
      </c>
      <c r="B50">
        <v>9</v>
      </c>
      <c r="C50">
        <v>80068</v>
      </c>
      <c r="D50">
        <v>80087</v>
      </c>
      <c r="E50">
        <v>80087</v>
      </c>
      <c r="F50">
        <v>80090</v>
      </c>
      <c r="G50">
        <f t="shared" ca="1" si="2"/>
        <v>80068</v>
      </c>
      <c r="H50">
        <f t="shared" ca="1" si="3"/>
        <v>0</v>
      </c>
      <c r="I50">
        <f t="shared" ca="1" si="4"/>
        <v>23.729829644801917</v>
      </c>
      <c r="J50">
        <f t="shared" ca="1" si="5"/>
        <v>23.729829644801917</v>
      </c>
      <c r="K50">
        <f t="shared" ca="1" si="6"/>
        <v>27.476644851875903</v>
      </c>
    </row>
    <row r="51" spans="1:11" x14ac:dyDescent="0.3">
      <c r="A51" t="s">
        <v>60</v>
      </c>
      <c r="B51">
        <v>10</v>
      </c>
      <c r="C51">
        <v>80068</v>
      </c>
      <c r="D51">
        <v>80087</v>
      </c>
      <c r="E51">
        <v>80087</v>
      </c>
      <c r="F51">
        <v>80090</v>
      </c>
      <c r="G51">
        <f t="shared" ca="1" si="2"/>
        <v>80068</v>
      </c>
      <c r="H51">
        <f t="shared" ca="1" si="3"/>
        <v>0</v>
      </c>
      <c r="I51">
        <f t="shared" ca="1" si="4"/>
        <v>23.729829644801917</v>
      </c>
      <c r="J51">
        <f t="shared" ca="1" si="5"/>
        <v>23.729829644801917</v>
      </c>
      <c r="K51">
        <f t="shared" ca="1" si="6"/>
        <v>27.476644851875903</v>
      </c>
    </row>
    <row r="52" spans="1:11" x14ac:dyDescent="0.3">
      <c r="A52" t="s">
        <v>6</v>
      </c>
      <c r="B52">
        <v>1</v>
      </c>
      <c r="C52">
        <v>120073</v>
      </c>
      <c r="D52">
        <v>120075</v>
      </c>
      <c r="E52">
        <v>120082</v>
      </c>
      <c r="F52">
        <v>120075</v>
      </c>
      <c r="G52">
        <f t="shared" ca="1" si="2"/>
        <v>120073</v>
      </c>
      <c r="H52">
        <f t="shared" ca="1" si="3"/>
        <v>0</v>
      </c>
      <c r="I52">
        <f t="shared" ca="1" si="4"/>
        <v>1.6656533941852041</v>
      </c>
      <c r="J52">
        <f t="shared" ca="1" si="5"/>
        <v>7.4954402738334176</v>
      </c>
      <c r="K52">
        <f t="shared" ca="1" si="6"/>
        <v>1.6656533941852041</v>
      </c>
    </row>
    <row r="53" spans="1:11" x14ac:dyDescent="0.3">
      <c r="A53" t="s">
        <v>6</v>
      </c>
      <c r="B53">
        <v>2</v>
      </c>
      <c r="C53">
        <v>120073</v>
      </c>
      <c r="D53">
        <v>120075</v>
      </c>
      <c r="E53">
        <v>120082</v>
      </c>
      <c r="F53">
        <v>120075</v>
      </c>
      <c r="G53">
        <f t="shared" ca="1" si="2"/>
        <v>120073</v>
      </c>
      <c r="H53">
        <f t="shared" ca="1" si="3"/>
        <v>0</v>
      </c>
      <c r="I53">
        <f t="shared" ca="1" si="4"/>
        <v>1.6656533941852041</v>
      </c>
      <c r="J53">
        <f t="shared" ca="1" si="5"/>
        <v>7.4954402738334176</v>
      </c>
      <c r="K53">
        <f t="shared" ca="1" si="6"/>
        <v>1.6656533941852041</v>
      </c>
    </row>
    <row r="54" spans="1:11" x14ac:dyDescent="0.3">
      <c r="A54" t="s">
        <v>45</v>
      </c>
      <c r="B54">
        <v>3</v>
      </c>
      <c r="C54">
        <v>120073</v>
      </c>
      <c r="D54">
        <v>120075</v>
      </c>
      <c r="E54">
        <v>120082</v>
      </c>
      <c r="F54">
        <v>120075</v>
      </c>
      <c r="G54">
        <f t="shared" ca="1" si="2"/>
        <v>120073</v>
      </c>
      <c r="H54">
        <f t="shared" ca="1" si="3"/>
        <v>0</v>
      </c>
      <c r="I54">
        <f t="shared" ca="1" si="4"/>
        <v>1.6656533941852041</v>
      </c>
      <c r="J54">
        <f t="shared" ca="1" si="5"/>
        <v>7.4954402738334176</v>
      </c>
      <c r="K54">
        <f t="shared" ca="1" si="6"/>
        <v>1.6656533941852041</v>
      </c>
    </row>
    <row r="55" spans="1:11" x14ac:dyDescent="0.3">
      <c r="A55" t="s">
        <v>45</v>
      </c>
      <c r="B55">
        <v>4</v>
      </c>
      <c r="C55">
        <v>120073</v>
      </c>
      <c r="D55">
        <v>120075</v>
      </c>
      <c r="E55">
        <v>120082</v>
      </c>
      <c r="F55">
        <v>120075</v>
      </c>
      <c r="G55">
        <f t="shared" ca="1" si="2"/>
        <v>120073</v>
      </c>
      <c r="H55">
        <f t="shared" ca="1" si="3"/>
        <v>0</v>
      </c>
      <c r="I55">
        <f t="shared" ca="1" si="4"/>
        <v>1.6656533941852041</v>
      </c>
      <c r="J55">
        <f t="shared" ca="1" si="5"/>
        <v>7.4954402738334176</v>
      </c>
      <c r="K55">
        <f t="shared" ca="1" si="6"/>
        <v>1.6656533941852041</v>
      </c>
    </row>
    <row r="56" spans="1:11" x14ac:dyDescent="0.3">
      <c r="A56" t="s">
        <v>45</v>
      </c>
      <c r="B56">
        <v>5</v>
      </c>
      <c r="C56">
        <v>120073</v>
      </c>
      <c r="D56">
        <v>120075</v>
      </c>
      <c r="E56">
        <v>120082</v>
      </c>
      <c r="F56">
        <v>120075</v>
      </c>
      <c r="G56">
        <f t="shared" ca="1" si="2"/>
        <v>120073</v>
      </c>
      <c r="H56">
        <f t="shared" ca="1" si="3"/>
        <v>0</v>
      </c>
      <c r="I56">
        <f t="shared" ca="1" si="4"/>
        <v>1.6656533941852041</v>
      </c>
      <c r="J56">
        <f t="shared" ca="1" si="5"/>
        <v>7.4954402738334176</v>
      </c>
      <c r="K56">
        <f t="shared" ca="1" si="6"/>
        <v>1.6656533941852041</v>
      </c>
    </row>
    <row r="57" spans="1:11" x14ac:dyDescent="0.3">
      <c r="A57" t="s">
        <v>45</v>
      </c>
      <c r="B57">
        <v>6</v>
      </c>
      <c r="C57">
        <v>120075</v>
      </c>
      <c r="D57">
        <v>120075</v>
      </c>
      <c r="E57">
        <v>120082</v>
      </c>
      <c r="F57">
        <v>120075</v>
      </c>
      <c r="G57">
        <f t="shared" ca="1" si="2"/>
        <v>120073</v>
      </c>
      <c r="H57">
        <f t="shared" ca="1" si="3"/>
        <v>1.6656533941852041</v>
      </c>
      <c r="I57">
        <f t="shared" ca="1" si="4"/>
        <v>1.6656533941852041</v>
      </c>
      <c r="J57">
        <f t="shared" ca="1" si="5"/>
        <v>7.4954402738334176</v>
      </c>
      <c r="K57">
        <f t="shared" ca="1" si="6"/>
        <v>1.6656533941852041</v>
      </c>
    </row>
    <row r="58" spans="1:11" x14ac:dyDescent="0.3">
      <c r="A58" t="s">
        <v>45</v>
      </c>
      <c r="B58">
        <v>7</v>
      </c>
      <c r="C58">
        <v>120073</v>
      </c>
      <c r="D58">
        <v>120075</v>
      </c>
      <c r="E58">
        <v>120082</v>
      </c>
      <c r="F58">
        <v>120075</v>
      </c>
      <c r="G58">
        <f t="shared" ca="1" si="2"/>
        <v>120073</v>
      </c>
      <c r="H58">
        <f t="shared" ca="1" si="3"/>
        <v>0</v>
      </c>
      <c r="I58">
        <f t="shared" ca="1" si="4"/>
        <v>1.6656533941852041</v>
      </c>
      <c r="J58">
        <f t="shared" ca="1" si="5"/>
        <v>7.4954402738334176</v>
      </c>
      <c r="K58">
        <f t="shared" ca="1" si="6"/>
        <v>1.6656533941852041</v>
      </c>
    </row>
    <row r="59" spans="1:11" x14ac:dyDescent="0.3">
      <c r="A59" t="s">
        <v>45</v>
      </c>
      <c r="B59">
        <v>8</v>
      </c>
      <c r="C59">
        <v>120073</v>
      </c>
      <c r="D59">
        <v>120075</v>
      </c>
      <c r="E59">
        <v>120082</v>
      </c>
      <c r="F59">
        <v>120075</v>
      </c>
      <c r="G59">
        <f t="shared" ca="1" si="2"/>
        <v>120073</v>
      </c>
      <c r="H59">
        <f t="shared" ca="1" si="3"/>
        <v>0</v>
      </c>
      <c r="I59">
        <f t="shared" ca="1" si="4"/>
        <v>1.6656533941852041</v>
      </c>
      <c r="J59">
        <f t="shared" ca="1" si="5"/>
        <v>7.4954402738334176</v>
      </c>
      <c r="K59">
        <f t="shared" ca="1" si="6"/>
        <v>1.6656533941852041</v>
      </c>
    </row>
    <row r="60" spans="1:11" x14ac:dyDescent="0.3">
      <c r="A60" t="s">
        <v>45</v>
      </c>
      <c r="B60">
        <v>9</v>
      </c>
      <c r="C60">
        <v>120073</v>
      </c>
      <c r="D60">
        <v>120075</v>
      </c>
      <c r="E60">
        <v>120082</v>
      </c>
      <c r="F60">
        <v>120075</v>
      </c>
      <c r="G60">
        <f t="shared" ca="1" si="2"/>
        <v>120073</v>
      </c>
      <c r="H60">
        <f t="shared" ca="1" si="3"/>
        <v>0</v>
      </c>
      <c r="I60">
        <f t="shared" ca="1" si="4"/>
        <v>1.6656533941852041</v>
      </c>
      <c r="J60">
        <f t="shared" ca="1" si="5"/>
        <v>7.4954402738334176</v>
      </c>
      <c r="K60">
        <f t="shared" ca="1" si="6"/>
        <v>1.6656533941852041</v>
      </c>
    </row>
    <row r="61" spans="1:11" x14ac:dyDescent="0.3">
      <c r="A61" t="s">
        <v>45</v>
      </c>
      <c r="B61">
        <v>10</v>
      </c>
      <c r="C61">
        <v>120075</v>
      </c>
      <c r="D61">
        <v>120075</v>
      </c>
      <c r="E61">
        <v>120082</v>
      </c>
      <c r="F61">
        <v>120075</v>
      </c>
      <c r="G61">
        <f t="shared" ca="1" si="2"/>
        <v>120073</v>
      </c>
      <c r="H61">
        <f t="shared" ca="1" si="3"/>
        <v>1.6656533941852041</v>
      </c>
      <c r="I61">
        <f t="shared" ca="1" si="4"/>
        <v>1.6656533941852041</v>
      </c>
      <c r="J61">
        <f t="shared" ca="1" si="5"/>
        <v>7.4954402738334176</v>
      </c>
      <c r="K61">
        <f t="shared" ca="1" si="6"/>
        <v>1.6656533941852041</v>
      </c>
    </row>
    <row r="62" spans="1:11" x14ac:dyDescent="0.3">
      <c r="A62" t="s">
        <v>1</v>
      </c>
      <c r="B62">
        <v>1</v>
      </c>
      <c r="C62">
        <v>120069</v>
      </c>
      <c r="D62">
        <v>120067</v>
      </c>
      <c r="E62">
        <v>120071</v>
      </c>
      <c r="F62">
        <v>120067</v>
      </c>
      <c r="G62">
        <f t="shared" ca="1" si="2"/>
        <v>120067</v>
      </c>
      <c r="H62">
        <f t="shared" ca="1" si="3"/>
        <v>1.6657366303813705</v>
      </c>
      <c r="I62">
        <f t="shared" ca="1" si="4"/>
        <v>0</v>
      </c>
      <c r="J62">
        <f t="shared" ca="1" si="5"/>
        <v>3.3314732607627411</v>
      </c>
      <c r="K62">
        <f t="shared" ca="1" si="6"/>
        <v>0</v>
      </c>
    </row>
    <row r="63" spans="1:11" x14ac:dyDescent="0.3">
      <c r="A63" t="s">
        <v>1</v>
      </c>
      <c r="B63">
        <v>2</v>
      </c>
      <c r="C63">
        <v>120069</v>
      </c>
      <c r="D63">
        <v>120067</v>
      </c>
      <c r="E63">
        <v>120071</v>
      </c>
      <c r="F63">
        <v>120067</v>
      </c>
      <c r="G63">
        <f t="shared" ca="1" si="2"/>
        <v>120067</v>
      </c>
      <c r="H63">
        <f t="shared" ca="1" si="3"/>
        <v>1.6657366303813705</v>
      </c>
      <c r="I63">
        <f t="shared" ca="1" si="4"/>
        <v>0</v>
      </c>
      <c r="J63">
        <f t="shared" ca="1" si="5"/>
        <v>3.3314732607627411</v>
      </c>
      <c r="K63">
        <f t="shared" ca="1" si="6"/>
        <v>0</v>
      </c>
    </row>
    <row r="64" spans="1:11" x14ac:dyDescent="0.3">
      <c r="A64" t="s">
        <v>46</v>
      </c>
      <c r="B64">
        <v>3</v>
      </c>
      <c r="C64">
        <v>120069</v>
      </c>
      <c r="D64">
        <v>120067</v>
      </c>
      <c r="E64">
        <v>120071</v>
      </c>
      <c r="F64">
        <v>120067</v>
      </c>
      <c r="G64">
        <f t="shared" ca="1" si="2"/>
        <v>120067</v>
      </c>
      <c r="H64">
        <f t="shared" ca="1" si="3"/>
        <v>1.6657366303813705</v>
      </c>
      <c r="I64">
        <f t="shared" ca="1" si="4"/>
        <v>0</v>
      </c>
      <c r="J64">
        <f t="shared" ca="1" si="5"/>
        <v>3.3314732607627411</v>
      </c>
      <c r="K64">
        <f t="shared" ca="1" si="6"/>
        <v>0</v>
      </c>
    </row>
    <row r="65" spans="1:11" x14ac:dyDescent="0.3">
      <c r="A65" t="s">
        <v>46</v>
      </c>
      <c r="B65">
        <v>4</v>
      </c>
      <c r="C65">
        <v>120069</v>
      </c>
      <c r="D65">
        <v>120067</v>
      </c>
      <c r="E65">
        <v>120071</v>
      </c>
      <c r="F65">
        <v>120067</v>
      </c>
      <c r="G65">
        <f t="shared" ca="1" si="2"/>
        <v>120067</v>
      </c>
      <c r="H65">
        <f t="shared" ca="1" si="3"/>
        <v>1.6657366303813705</v>
      </c>
      <c r="I65">
        <f t="shared" ca="1" si="4"/>
        <v>0</v>
      </c>
      <c r="J65">
        <f t="shared" ca="1" si="5"/>
        <v>3.3314732607627411</v>
      </c>
      <c r="K65">
        <f t="shared" ca="1" si="6"/>
        <v>0</v>
      </c>
    </row>
    <row r="66" spans="1:11" x14ac:dyDescent="0.3">
      <c r="A66" t="s">
        <v>46</v>
      </c>
      <c r="B66">
        <v>5</v>
      </c>
      <c r="C66">
        <v>120069</v>
      </c>
      <c r="D66">
        <v>120067</v>
      </c>
      <c r="E66">
        <v>120071</v>
      </c>
      <c r="F66">
        <v>120067</v>
      </c>
      <c r="G66">
        <f t="shared" ca="1" si="2"/>
        <v>120067</v>
      </c>
      <c r="H66">
        <f t="shared" ca="1" si="3"/>
        <v>1.6657366303813705</v>
      </c>
      <c r="I66">
        <f t="shared" ca="1" si="4"/>
        <v>0</v>
      </c>
      <c r="J66">
        <f t="shared" ca="1" si="5"/>
        <v>3.3314732607627411</v>
      </c>
      <c r="K66">
        <f t="shared" ca="1" si="6"/>
        <v>0</v>
      </c>
    </row>
    <row r="67" spans="1:11" x14ac:dyDescent="0.3">
      <c r="A67" t="s">
        <v>46</v>
      </c>
      <c r="B67">
        <v>6</v>
      </c>
      <c r="C67">
        <v>120069</v>
      </c>
      <c r="D67">
        <v>120067</v>
      </c>
      <c r="E67">
        <v>120071</v>
      </c>
      <c r="F67">
        <v>120067</v>
      </c>
      <c r="G67">
        <f t="shared" ref="G67:G130" ca="1" si="15">MIN(INDIRECT("C" &amp; (10*INT((ROW()-2)/10)+2) &amp; ":F" &amp; (10*INT((ROW()-2)/10)+11)))</f>
        <v>120067</v>
      </c>
      <c r="H67">
        <f t="shared" ref="H67:H130" ca="1" si="16">(C67-OFFSET($G$2, 10*INT((ROW()-2)/10), 0))/OFFSET($G$2, 10*INT((ROW()-2)/10), 0)*100*1000</f>
        <v>1.6657366303813705</v>
      </c>
      <c r="I67">
        <f t="shared" ref="I67:I130" ca="1" si="17">(D67-OFFSET($G$2, 10*INT((ROW()-2)/10), 0))/OFFSET($G$2, 10*INT((ROW()-2)/10), 0)*100*1000</f>
        <v>0</v>
      </c>
      <c r="J67">
        <f t="shared" ref="J67:J130" ca="1" si="18">(E67-OFFSET($G$2, 10*INT((ROW()-2)/10), 0))/OFFSET($G$2, 10*INT((ROW()-2)/10), 0)*100*1000</f>
        <v>3.3314732607627411</v>
      </c>
      <c r="K67">
        <f t="shared" ref="K67:K130" ca="1" si="19">(F67-OFFSET($G$2, 10*INT((ROW()-2)/10), 0))/OFFSET($G$2, 10*INT((ROW()-2)/10), 0)*100*1000</f>
        <v>0</v>
      </c>
    </row>
    <row r="68" spans="1:11" x14ac:dyDescent="0.3">
      <c r="A68" t="s">
        <v>46</v>
      </c>
      <c r="B68">
        <v>7</v>
      </c>
      <c r="C68">
        <v>120069</v>
      </c>
      <c r="D68">
        <v>120067</v>
      </c>
      <c r="E68">
        <v>120071</v>
      </c>
      <c r="F68">
        <v>120067</v>
      </c>
      <c r="G68">
        <f t="shared" ca="1" si="15"/>
        <v>120067</v>
      </c>
      <c r="H68">
        <f t="shared" ca="1" si="16"/>
        <v>1.6657366303813705</v>
      </c>
      <c r="I68">
        <f t="shared" ca="1" si="17"/>
        <v>0</v>
      </c>
      <c r="J68">
        <f t="shared" ca="1" si="18"/>
        <v>3.3314732607627411</v>
      </c>
      <c r="K68">
        <f t="shared" ca="1" si="19"/>
        <v>0</v>
      </c>
    </row>
    <row r="69" spans="1:11" x14ac:dyDescent="0.3">
      <c r="A69" t="s">
        <v>46</v>
      </c>
      <c r="B69">
        <v>8</v>
      </c>
      <c r="C69">
        <v>120069</v>
      </c>
      <c r="D69">
        <v>120067</v>
      </c>
      <c r="E69">
        <v>120071</v>
      </c>
      <c r="F69">
        <v>120067</v>
      </c>
      <c r="G69">
        <f t="shared" ca="1" si="15"/>
        <v>120067</v>
      </c>
      <c r="H69">
        <f t="shared" ca="1" si="16"/>
        <v>1.6657366303813705</v>
      </c>
      <c r="I69">
        <f t="shared" ca="1" si="17"/>
        <v>0</v>
      </c>
      <c r="J69">
        <f t="shared" ca="1" si="18"/>
        <v>3.3314732607627411</v>
      </c>
      <c r="K69">
        <f t="shared" ca="1" si="19"/>
        <v>0</v>
      </c>
    </row>
    <row r="70" spans="1:11" x14ac:dyDescent="0.3">
      <c r="A70" t="s">
        <v>46</v>
      </c>
      <c r="B70">
        <v>9</v>
      </c>
      <c r="C70">
        <v>120069</v>
      </c>
      <c r="D70">
        <v>120067</v>
      </c>
      <c r="E70">
        <v>120071</v>
      </c>
      <c r="F70">
        <v>120067</v>
      </c>
      <c r="G70">
        <f t="shared" ca="1" si="15"/>
        <v>120067</v>
      </c>
      <c r="H70">
        <f t="shared" ca="1" si="16"/>
        <v>1.6657366303813705</v>
      </c>
      <c r="I70">
        <f t="shared" ca="1" si="17"/>
        <v>0</v>
      </c>
      <c r="J70">
        <f t="shared" ca="1" si="18"/>
        <v>3.3314732607627411</v>
      </c>
      <c r="K70">
        <f t="shared" ca="1" si="19"/>
        <v>0</v>
      </c>
    </row>
    <row r="71" spans="1:11" x14ac:dyDescent="0.3">
      <c r="A71" t="s">
        <v>46</v>
      </c>
      <c r="B71">
        <v>10</v>
      </c>
      <c r="C71">
        <v>120069</v>
      </c>
      <c r="D71">
        <v>120067</v>
      </c>
      <c r="E71">
        <v>120071</v>
      </c>
      <c r="F71">
        <v>120067</v>
      </c>
      <c r="G71">
        <f t="shared" ca="1" si="15"/>
        <v>120067</v>
      </c>
      <c r="H71">
        <f t="shared" ca="1" si="16"/>
        <v>1.6657366303813705</v>
      </c>
      <c r="I71">
        <f t="shared" ca="1" si="17"/>
        <v>0</v>
      </c>
      <c r="J71">
        <f t="shared" ca="1" si="18"/>
        <v>3.3314732607627411</v>
      </c>
      <c r="K71">
        <f t="shared" ca="1" si="19"/>
        <v>0</v>
      </c>
    </row>
    <row r="72" spans="1:11" x14ac:dyDescent="0.3">
      <c r="A72" t="s">
        <v>7</v>
      </c>
      <c r="B72">
        <v>1</v>
      </c>
      <c r="C72">
        <v>150094</v>
      </c>
      <c r="D72">
        <v>150114</v>
      </c>
      <c r="E72">
        <v>150127</v>
      </c>
      <c r="F72">
        <v>150119</v>
      </c>
      <c r="G72">
        <f t="shared" ca="1" si="15"/>
        <v>150094</v>
      </c>
      <c r="H72">
        <f t="shared" ca="1" si="16"/>
        <v>0</v>
      </c>
      <c r="I72">
        <f t="shared" ca="1" si="17"/>
        <v>13.324983010646662</v>
      </c>
      <c r="J72">
        <f t="shared" ca="1" si="18"/>
        <v>21.986221967566991</v>
      </c>
      <c r="K72">
        <f t="shared" ca="1" si="19"/>
        <v>16.656228763308327</v>
      </c>
    </row>
    <row r="73" spans="1:11" x14ac:dyDescent="0.3">
      <c r="A73" t="s">
        <v>7</v>
      </c>
      <c r="B73">
        <v>2</v>
      </c>
      <c r="C73">
        <v>150094</v>
      </c>
      <c r="D73">
        <v>150112</v>
      </c>
      <c r="E73">
        <v>150127</v>
      </c>
      <c r="F73">
        <v>150120</v>
      </c>
      <c r="G73">
        <f t="shared" ca="1" si="15"/>
        <v>150094</v>
      </c>
      <c r="H73">
        <f t="shared" ca="1" si="16"/>
        <v>0</v>
      </c>
      <c r="I73">
        <f t="shared" ca="1" si="17"/>
        <v>11.992484709581994</v>
      </c>
      <c r="J73">
        <f t="shared" ca="1" si="18"/>
        <v>21.986221967566991</v>
      </c>
      <c r="K73">
        <f t="shared" ca="1" si="19"/>
        <v>17.322477913840657</v>
      </c>
    </row>
    <row r="74" spans="1:11" x14ac:dyDescent="0.3">
      <c r="A74" t="s">
        <v>47</v>
      </c>
      <c r="B74">
        <v>3</v>
      </c>
      <c r="C74">
        <v>150094</v>
      </c>
      <c r="D74">
        <v>150112</v>
      </c>
      <c r="E74">
        <v>150127</v>
      </c>
      <c r="F74">
        <v>150119</v>
      </c>
      <c r="G74">
        <f t="shared" ca="1" si="15"/>
        <v>150094</v>
      </c>
      <c r="H74">
        <f t="shared" ca="1" si="16"/>
        <v>0</v>
      </c>
      <c r="I74">
        <f t="shared" ca="1" si="17"/>
        <v>11.992484709581994</v>
      </c>
      <c r="J74">
        <f t="shared" ca="1" si="18"/>
        <v>21.986221967566991</v>
      </c>
      <c r="K74">
        <f t="shared" ca="1" si="19"/>
        <v>16.656228763308327</v>
      </c>
    </row>
    <row r="75" spans="1:11" x14ac:dyDescent="0.3">
      <c r="A75" t="s">
        <v>47</v>
      </c>
      <c r="B75">
        <v>4</v>
      </c>
      <c r="C75">
        <v>150094</v>
      </c>
      <c r="D75">
        <v>150112</v>
      </c>
      <c r="E75">
        <v>150127</v>
      </c>
      <c r="F75">
        <v>150119</v>
      </c>
      <c r="G75">
        <f t="shared" ca="1" si="15"/>
        <v>150094</v>
      </c>
      <c r="H75">
        <f t="shared" ca="1" si="16"/>
        <v>0</v>
      </c>
      <c r="I75">
        <f t="shared" ca="1" si="17"/>
        <v>11.992484709581994</v>
      </c>
      <c r="J75">
        <f t="shared" ca="1" si="18"/>
        <v>21.986221967566991</v>
      </c>
      <c r="K75">
        <f t="shared" ca="1" si="19"/>
        <v>16.656228763308327</v>
      </c>
    </row>
    <row r="76" spans="1:11" x14ac:dyDescent="0.3">
      <c r="A76" t="s">
        <v>47</v>
      </c>
      <c r="B76">
        <v>5</v>
      </c>
      <c r="C76">
        <v>150094</v>
      </c>
      <c r="D76">
        <v>150121</v>
      </c>
      <c r="E76">
        <v>150127</v>
      </c>
      <c r="F76">
        <v>150119</v>
      </c>
      <c r="G76">
        <f t="shared" ca="1" si="15"/>
        <v>150094</v>
      </c>
      <c r="H76">
        <f t="shared" ca="1" si="16"/>
        <v>0</v>
      </c>
      <c r="I76">
        <f t="shared" ca="1" si="17"/>
        <v>17.988727064372991</v>
      </c>
      <c r="J76">
        <f t="shared" ca="1" si="18"/>
        <v>21.986221967566991</v>
      </c>
      <c r="K76">
        <f t="shared" ca="1" si="19"/>
        <v>16.656228763308327</v>
      </c>
    </row>
    <row r="77" spans="1:11" x14ac:dyDescent="0.3">
      <c r="A77" t="s">
        <v>47</v>
      </c>
      <c r="B77">
        <v>6</v>
      </c>
      <c r="C77">
        <v>150094</v>
      </c>
      <c r="D77">
        <v>150112</v>
      </c>
      <c r="E77">
        <v>150127</v>
      </c>
      <c r="F77">
        <v>150120</v>
      </c>
      <c r="G77">
        <f t="shared" ca="1" si="15"/>
        <v>150094</v>
      </c>
      <c r="H77">
        <f t="shared" ca="1" si="16"/>
        <v>0</v>
      </c>
      <c r="I77">
        <f t="shared" ca="1" si="17"/>
        <v>11.992484709581994</v>
      </c>
      <c r="J77">
        <f t="shared" ca="1" si="18"/>
        <v>21.986221967566991</v>
      </c>
      <c r="K77">
        <f t="shared" ca="1" si="19"/>
        <v>17.322477913840657</v>
      </c>
    </row>
    <row r="78" spans="1:11" x14ac:dyDescent="0.3">
      <c r="A78" t="s">
        <v>47</v>
      </c>
      <c r="B78">
        <v>7</v>
      </c>
      <c r="C78">
        <v>150094</v>
      </c>
      <c r="D78">
        <v>150112</v>
      </c>
      <c r="E78">
        <v>150127</v>
      </c>
      <c r="F78">
        <v>150119</v>
      </c>
      <c r="G78">
        <f t="shared" ca="1" si="15"/>
        <v>150094</v>
      </c>
      <c r="H78">
        <f t="shared" ca="1" si="16"/>
        <v>0</v>
      </c>
      <c r="I78">
        <f t="shared" ca="1" si="17"/>
        <v>11.992484709581994</v>
      </c>
      <c r="J78">
        <f t="shared" ca="1" si="18"/>
        <v>21.986221967566991</v>
      </c>
      <c r="K78">
        <f t="shared" ca="1" si="19"/>
        <v>16.656228763308327</v>
      </c>
    </row>
    <row r="79" spans="1:11" x14ac:dyDescent="0.3">
      <c r="A79" t="s">
        <v>47</v>
      </c>
      <c r="B79">
        <v>8</v>
      </c>
      <c r="C79">
        <v>150094</v>
      </c>
      <c r="D79">
        <v>150121</v>
      </c>
      <c r="E79">
        <v>150127</v>
      </c>
      <c r="F79">
        <v>150119</v>
      </c>
      <c r="G79">
        <f t="shared" ca="1" si="15"/>
        <v>150094</v>
      </c>
      <c r="H79">
        <f t="shared" ca="1" si="16"/>
        <v>0</v>
      </c>
      <c r="I79">
        <f t="shared" ca="1" si="17"/>
        <v>17.988727064372991</v>
      </c>
      <c r="J79">
        <f t="shared" ca="1" si="18"/>
        <v>21.986221967566991</v>
      </c>
      <c r="K79">
        <f t="shared" ca="1" si="19"/>
        <v>16.656228763308327</v>
      </c>
    </row>
    <row r="80" spans="1:11" x14ac:dyDescent="0.3">
      <c r="A80" t="s">
        <v>47</v>
      </c>
      <c r="B80">
        <v>9</v>
      </c>
      <c r="C80">
        <v>150094</v>
      </c>
      <c r="D80">
        <v>150112</v>
      </c>
      <c r="E80">
        <v>150127</v>
      </c>
      <c r="F80">
        <v>150120</v>
      </c>
      <c r="G80">
        <f t="shared" ca="1" si="15"/>
        <v>150094</v>
      </c>
      <c r="H80">
        <f t="shared" ca="1" si="16"/>
        <v>0</v>
      </c>
      <c r="I80">
        <f t="shared" ca="1" si="17"/>
        <v>11.992484709581994</v>
      </c>
      <c r="J80">
        <f t="shared" ca="1" si="18"/>
        <v>21.986221967566991</v>
      </c>
      <c r="K80">
        <f t="shared" ca="1" si="19"/>
        <v>17.322477913840657</v>
      </c>
    </row>
    <row r="81" spans="1:11" x14ac:dyDescent="0.3">
      <c r="A81" t="s">
        <v>47</v>
      </c>
      <c r="B81">
        <v>10</v>
      </c>
      <c r="C81">
        <v>150094</v>
      </c>
      <c r="D81">
        <v>150112</v>
      </c>
      <c r="E81">
        <v>150127</v>
      </c>
      <c r="F81">
        <v>150119</v>
      </c>
      <c r="G81">
        <f t="shared" ca="1" si="15"/>
        <v>150094</v>
      </c>
      <c r="H81">
        <f t="shared" ca="1" si="16"/>
        <v>0</v>
      </c>
      <c r="I81">
        <f t="shared" ca="1" si="17"/>
        <v>11.992484709581994</v>
      </c>
      <c r="J81">
        <f t="shared" ca="1" si="18"/>
        <v>21.986221967566991</v>
      </c>
      <c r="K81">
        <f t="shared" ca="1" si="19"/>
        <v>16.656228763308327</v>
      </c>
    </row>
    <row r="82" spans="1:11" x14ac:dyDescent="0.3">
      <c r="A82" t="s">
        <v>8</v>
      </c>
      <c r="B82">
        <v>1</v>
      </c>
      <c r="C82">
        <v>150089</v>
      </c>
      <c r="D82">
        <v>150091</v>
      </c>
      <c r="E82">
        <v>150114</v>
      </c>
      <c r="F82">
        <v>150109</v>
      </c>
      <c r="G82">
        <f t="shared" ca="1" si="15"/>
        <v>150089</v>
      </c>
      <c r="H82">
        <f t="shared" ca="1" si="16"/>
        <v>0</v>
      </c>
      <c r="I82">
        <f t="shared" ca="1" si="17"/>
        <v>1.3325426913364737</v>
      </c>
      <c r="J82">
        <f t="shared" ca="1" si="18"/>
        <v>16.656783641705921</v>
      </c>
      <c r="K82">
        <f t="shared" ca="1" si="19"/>
        <v>13.325426913364735</v>
      </c>
    </row>
    <row r="83" spans="1:11" x14ac:dyDescent="0.3">
      <c r="A83" t="s">
        <v>8</v>
      </c>
      <c r="B83">
        <v>2</v>
      </c>
      <c r="C83">
        <v>150089</v>
      </c>
      <c r="D83">
        <v>150091</v>
      </c>
      <c r="E83">
        <v>150114</v>
      </c>
      <c r="F83">
        <v>150109</v>
      </c>
      <c r="G83">
        <f t="shared" ca="1" si="15"/>
        <v>150089</v>
      </c>
      <c r="H83">
        <f t="shared" ca="1" si="16"/>
        <v>0</v>
      </c>
      <c r="I83">
        <f t="shared" ca="1" si="17"/>
        <v>1.3325426913364737</v>
      </c>
      <c r="J83">
        <f t="shared" ca="1" si="18"/>
        <v>16.656783641705921</v>
      </c>
      <c r="K83">
        <f t="shared" ca="1" si="19"/>
        <v>13.325426913364735</v>
      </c>
    </row>
    <row r="84" spans="1:11" x14ac:dyDescent="0.3">
      <c r="A84" t="s">
        <v>48</v>
      </c>
      <c r="B84">
        <v>3</v>
      </c>
      <c r="C84">
        <v>150089</v>
      </c>
      <c r="D84">
        <v>150091</v>
      </c>
      <c r="E84">
        <v>150114</v>
      </c>
      <c r="F84">
        <v>150109</v>
      </c>
      <c r="G84">
        <f t="shared" ca="1" si="15"/>
        <v>150089</v>
      </c>
      <c r="H84">
        <f t="shared" ca="1" si="16"/>
        <v>0</v>
      </c>
      <c r="I84">
        <f t="shared" ca="1" si="17"/>
        <v>1.3325426913364737</v>
      </c>
      <c r="J84">
        <f t="shared" ca="1" si="18"/>
        <v>16.656783641705921</v>
      </c>
      <c r="K84">
        <f t="shared" ca="1" si="19"/>
        <v>13.325426913364735</v>
      </c>
    </row>
    <row r="85" spans="1:11" x14ac:dyDescent="0.3">
      <c r="A85" t="s">
        <v>48</v>
      </c>
      <c r="B85">
        <v>4</v>
      </c>
      <c r="C85">
        <v>150089</v>
      </c>
      <c r="D85">
        <v>150092</v>
      </c>
      <c r="E85">
        <v>150114</v>
      </c>
      <c r="F85">
        <v>150109</v>
      </c>
      <c r="G85">
        <f t="shared" ca="1" si="15"/>
        <v>150089</v>
      </c>
      <c r="H85">
        <f t="shared" ca="1" si="16"/>
        <v>0</v>
      </c>
      <c r="I85">
        <f t="shared" ca="1" si="17"/>
        <v>1.9988140370047103</v>
      </c>
      <c r="J85">
        <f t="shared" ca="1" si="18"/>
        <v>16.656783641705921</v>
      </c>
      <c r="K85">
        <f t="shared" ca="1" si="19"/>
        <v>13.325426913364735</v>
      </c>
    </row>
    <row r="86" spans="1:11" x14ac:dyDescent="0.3">
      <c r="A86" t="s">
        <v>48</v>
      </c>
      <c r="B86">
        <v>5</v>
      </c>
      <c r="C86">
        <v>150089</v>
      </c>
      <c r="D86">
        <v>150092</v>
      </c>
      <c r="E86">
        <v>150114</v>
      </c>
      <c r="F86">
        <v>150109</v>
      </c>
      <c r="G86">
        <f t="shared" ca="1" si="15"/>
        <v>150089</v>
      </c>
      <c r="H86">
        <f t="shared" ca="1" si="16"/>
        <v>0</v>
      </c>
      <c r="I86">
        <f t="shared" ca="1" si="17"/>
        <v>1.9988140370047103</v>
      </c>
      <c r="J86">
        <f t="shared" ca="1" si="18"/>
        <v>16.656783641705921</v>
      </c>
      <c r="K86">
        <f t="shared" ca="1" si="19"/>
        <v>13.325426913364735</v>
      </c>
    </row>
    <row r="87" spans="1:11" x14ac:dyDescent="0.3">
      <c r="A87" t="s">
        <v>48</v>
      </c>
      <c r="B87">
        <v>6</v>
      </c>
      <c r="C87">
        <v>150090</v>
      </c>
      <c r="D87">
        <v>150092</v>
      </c>
      <c r="E87">
        <v>150114</v>
      </c>
      <c r="F87">
        <v>150109</v>
      </c>
      <c r="G87">
        <f t="shared" ca="1" si="15"/>
        <v>150089</v>
      </c>
      <c r="H87">
        <f t="shared" ca="1" si="16"/>
        <v>0.66627134566823687</v>
      </c>
      <c r="I87">
        <f t="shared" ca="1" si="17"/>
        <v>1.9988140370047103</v>
      </c>
      <c r="J87">
        <f t="shared" ca="1" si="18"/>
        <v>16.656783641705921</v>
      </c>
      <c r="K87">
        <f t="shared" ca="1" si="19"/>
        <v>13.325426913364735</v>
      </c>
    </row>
    <row r="88" spans="1:11" x14ac:dyDescent="0.3">
      <c r="A88" t="s">
        <v>48</v>
      </c>
      <c r="B88">
        <v>7</v>
      </c>
      <c r="C88">
        <v>150089</v>
      </c>
      <c r="D88">
        <v>150091</v>
      </c>
      <c r="E88">
        <v>150114</v>
      </c>
      <c r="F88">
        <v>150109</v>
      </c>
      <c r="G88">
        <f t="shared" ca="1" si="15"/>
        <v>150089</v>
      </c>
      <c r="H88">
        <f t="shared" ca="1" si="16"/>
        <v>0</v>
      </c>
      <c r="I88">
        <f t="shared" ca="1" si="17"/>
        <v>1.3325426913364737</v>
      </c>
      <c r="J88">
        <f t="shared" ca="1" si="18"/>
        <v>16.656783641705921</v>
      </c>
      <c r="K88">
        <f t="shared" ca="1" si="19"/>
        <v>13.325426913364735</v>
      </c>
    </row>
    <row r="89" spans="1:11" x14ac:dyDescent="0.3">
      <c r="A89" t="s">
        <v>48</v>
      </c>
      <c r="B89">
        <v>8</v>
      </c>
      <c r="C89">
        <v>150089</v>
      </c>
      <c r="D89">
        <v>150092</v>
      </c>
      <c r="E89">
        <v>150114</v>
      </c>
      <c r="F89">
        <v>150109</v>
      </c>
      <c r="G89">
        <f t="shared" ca="1" si="15"/>
        <v>150089</v>
      </c>
      <c r="H89">
        <f t="shared" ca="1" si="16"/>
        <v>0</v>
      </c>
      <c r="I89">
        <f t="shared" ca="1" si="17"/>
        <v>1.9988140370047103</v>
      </c>
      <c r="J89">
        <f t="shared" ca="1" si="18"/>
        <v>16.656783641705921</v>
      </c>
      <c r="K89">
        <f t="shared" ca="1" si="19"/>
        <v>13.325426913364735</v>
      </c>
    </row>
    <row r="90" spans="1:11" x14ac:dyDescent="0.3">
      <c r="A90" t="s">
        <v>48</v>
      </c>
      <c r="B90">
        <v>9</v>
      </c>
      <c r="C90">
        <v>150090</v>
      </c>
      <c r="D90">
        <v>150092</v>
      </c>
      <c r="E90">
        <v>150114</v>
      </c>
      <c r="F90">
        <v>150109</v>
      </c>
      <c r="G90">
        <f t="shared" ca="1" si="15"/>
        <v>150089</v>
      </c>
      <c r="H90">
        <f t="shared" ca="1" si="16"/>
        <v>0.66627134566823687</v>
      </c>
      <c r="I90">
        <f t="shared" ca="1" si="17"/>
        <v>1.9988140370047103</v>
      </c>
      <c r="J90">
        <f t="shared" ca="1" si="18"/>
        <v>16.656783641705921</v>
      </c>
      <c r="K90">
        <f t="shared" ca="1" si="19"/>
        <v>13.325426913364735</v>
      </c>
    </row>
    <row r="91" spans="1:11" x14ac:dyDescent="0.3">
      <c r="A91" t="s">
        <v>48</v>
      </c>
      <c r="B91">
        <v>10</v>
      </c>
      <c r="C91">
        <v>150090</v>
      </c>
      <c r="D91">
        <v>150091</v>
      </c>
      <c r="E91">
        <v>150114</v>
      </c>
      <c r="F91">
        <v>150109</v>
      </c>
      <c r="G91">
        <f t="shared" ca="1" si="15"/>
        <v>150089</v>
      </c>
      <c r="H91">
        <f t="shared" ca="1" si="16"/>
        <v>0.66627134566823687</v>
      </c>
      <c r="I91">
        <f t="shared" ca="1" si="17"/>
        <v>1.3325426913364737</v>
      </c>
      <c r="J91">
        <f t="shared" ca="1" si="18"/>
        <v>16.656783641705921</v>
      </c>
      <c r="K91">
        <f t="shared" ca="1" si="19"/>
        <v>13.325426913364735</v>
      </c>
    </row>
    <row r="92" spans="1:11" x14ac:dyDescent="0.3">
      <c r="A92" t="s">
        <v>9</v>
      </c>
      <c r="B92">
        <v>1</v>
      </c>
      <c r="C92">
        <v>100127</v>
      </c>
      <c r="D92">
        <v>100125</v>
      </c>
      <c r="E92">
        <v>100137</v>
      </c>
      <c r="F92">
        <v>100125</v>
      </c>
      <c r="G92">
        <f t="shared" ca="1" si="15"/>
        <v>100125</v>
      </c>
      <c r="H92">
        <f t="shared" ca="1" si="16"/>
        <v>1.9975031210986267</v>
      </c>
      <c r="I92">
        <f t="shared" ca="1" si="17"/>
        <v>0</v>
      </c>
      <c r="J92">
        <f t="shared" ca="1" si="18"/>
        <v>11.985018726591761</v>
      </c>
      <c r="K92">
        <f t="shared" ca="1" si="19"/>
        <v>0</v>
      </c>
    </row>
    <row r="93" spans="1:11" x14ac:dyDescent="0.3">
      <c r="A93" t="s">
        <v>9</v>
      </c>
      <c r="B93">
        <v>2</v>
      </c>
      <c r="C93">
        <v>100127</v>
      </c>
      <c r="D93">
        <v>100125</v>
      </c>
      <c r="E93">
        <v>100137</v>
      </c>
      <c r="F93">
        <v>100125</v>
      </c>
      <c r="G93">
        <f t="shared" ca="1" si="15"/>
        <v>100125</v>
      </c>
      <c r="H93">
        <f t="shared" ca="1" si="16"/>
        <v>1.9975031210986267</v>
      </c>
      <c r="I93">
        <f t="shared" ca="1" si="17"/>
        <v>0</v>
      </c>
      <c r="J93">
        <f t="shared" ca="1" si="18"/>
        <v>11.985018726591761</v>
      </c>
      <c r="K93">
        <f t="shared" ca="1" si="19"/>
        <v>0</v>
      </c>
    </row>
    <row r="94" spans="1:11" x14ac:dyDescent="0.3">
      <c r="A94" t="s">
        <v>49</v>
      </c>
      <c r="B94">
        <v>3</v>
      </c>
      <c r="C94">
        <v>100127</v>
      </c>
      <c r="D94">
        <v>100125</v>
      </c>
      <c r="E94">
        <v>100137</v>
      </c>
      <c r="F94">
        <v>100125</v>
      </c>
      <c r="G94">
        <f t="shared" ca="1" si="15"/>
        <v>100125</v>
      </c>
      <c r="H94">
        <f t="shared" ca="1" si="16"/>
        <v>1.9975031210986267</v>
      </c>
      <c r="I94">
        <f t="shared" ca="1" si="17"/>
        <v>0</v>
      </c>
      <c r="J94">
        <f t="shared" ca="1" si="18"/>
        <v>11.985018726591761</v>
      </c>
      <c r="K94">
        <f t="shared" ca="1" si="19"/>
        <v>0</v>
      </c>
    </row>
    <row r="95" spans="1:11" x14ac:dyDescent="0.3">
      <c r="A95" t="s">
        <v>49</v>
      </c>
      <c r="B95">
        <v>4</v>
      </c>
      <c r="C95">
        <v>100127</v>
      </c>
      <c r="D95">
        <v>100125</v>
      </c>
      <c r="E95">
        <v>100137</v>
      </c>
      <c r="F95">
        <v>100125</v>
      </c>
      <c r="G95">
        <f t="shared" ca="1" si="15"/>
        <v>100125</v>
      </c>
      <c r="H95">
        <f t="shared" ca="1" si="16"/>
        <v>1.9975031210986267</v>
      </c>
      <c r="I95">
        <f t="shared" ca="1" si="17"/>
        <v>0</v>
      </c>
      <c r="J95">
        <f t="shared" ca="1" si="18"/>
        <v>11.985018726591761</v>
      </c>
      <c r="K95">
        <f t="shared" ca="1" si="19"/>
        <v>0</v>
      </c>
    </row>
    <row r="96" spans="1:11" x14ac:dyDescent="0.3">
      <c r="A96" t="s">
        <v>49</v>
      </c>
      <c r="B96">
        <v>5</v>
      </c>
      <c r="C96">
        <v>100127</v>
      </c>
      <c r="D96">
        <v>100125</v>
      </c>
      <c r="E96">
        <v>100137</v>
      </c>
      <c r="F96">
        <v>100125</v>
      </c>
      <c r="G96">
        <f t="shared" ca="1" si="15"/>
        <v>100125</v>
      </c>
      <c r="H96">
        <f t="shared" ca="1" si="16"/>
        <v>1.9975031210986267</v>
      </c>
      <c r="I96">
        <f t="shared" ca="1" si="17"/>
        <v>0</v>
      </c>
      <c r="J96">
        <f t="shared" ca="1" si="18"/>
        <v>11.985018726591761</v>
      </c>
      <c r="K96">
        <f t="shared" ca="1" si="19"/>
        <v>0</v>
      </c>
    </row>
    <row r="97" spans="1:11" x14ac:dyDescent="0.3">
      <c r="A97" t="s">
        <v>49</v>
      </c>
      <c r="B97">
        <v>6</v>
      </c>
      <c r="C97">
        <v>100127</v>
      </c>
      <c r="D97">
        <v>100125</v>
      </c>
      <c r="E97">
        <v>100137</v>
      </c>
      <c r="F97">
        <v>100125</v>
      </c>
      <c r="G97">
        <f t="shared" ca="1" si="15"/>
        <v>100125</v>
      </c>
      <c r="H97">
        <f t="shared" ca="1" si="16"/>
        <v>1.9975031210986267</v>
      </c>
      <c r="I97">
        <f t="shared" ca="1" si="17"/>
        <v>0</v>
      </c>
      <c r="J97">
        <f t="shared" ca="1" si="18"/>
        <v>11.985018726591761</v>
      </c>
      <c r="K97">
        <f t="shared" ca="1" si="19"/>
        <v>0</v>
      </c>
    </row>
    <row r="98" spans="1:11" x14ac:dyDescent="0.3">
      <c r="A98" t="s">
        <v>49</v>
      </c>
      <c r="B98">
        <v>7</v>
      </c>
      <c r="C98">
        <v>100127</v>
      </c>
      <c r="D98">
        <v>100125</v>
      </c>
      <c r="E98">
        <v>100137</v>
      </c>
      <c r="F98">
        <v>100125</v>
      </c>
      <c r="G98">
        <f t="shared" ca="1" si="15"/>
        <v>100125</v>
      </c>
      <c r="H98">
        <f t="shared" ca="1" si="16"/>
        <v>1.9975031210986267</v>
      </c>
      <c r="I98">
        <f t="shared" ca="1" si="17"/>
        <v>0</v>
      </c>
      <c r="J98">
        <f t="shared" ca="1" si="18"/>
        <v>11.985018726591761</v>
      </c>
      <c r="K98">
        <f t="shared" ca="1" si="19"/>
        <v>0</v>
      </c>
    </row>
    <row r="99" spans="1:11" x14ac:dyDescent="0.3">
      <c r="A99" t="s">
        <v>49</v>
      </c>
      <c r="B99">
        <v>8</v>
      </c>
      <c r="C99">
        <v>100127</v>
      </c>
      <c r="D99">
        <v>100125</v>
      </c>
      <c r="E99">
        <v>100137</v>
      </c>
      <c r="F99">
        <v>100125</v>
      </c>
      <c r="G99">
        <f t="shared" ca="1" si="15"/>
        <v>100125</v>
      </c>
      <c r="H99">
        <f t="shared" ca="1" si="16"/>
        <v>1.9975031210986267</v>
      </c>
      <c r="I99">
        <f t="shared" ca="1" si="17"/>
        <v>0</v>
      </c>
      <c r="J99">
        <f t="shared" ca="1" si="18"/>
        <v>11.985018726591761</v>
      </c>
      <c r="K99">
        <f t="shared" ca="1" si="19"/>
        <v>0</v>
      </c>
    </row>
    <row r="100" spans="1:11" x14ac:dyDescent="0.3">
      <c r="A100" t="s">
        <v>49</v>
      </c>
      <c r="B100">
        <v>9</v>
      </c>
      <c r="C100">
        <v>100127</v>
      </c>
      <c r="D100">
        <v>100125</v>
      </c>
      <c r="E100">
        <v>100137</v>
      </c>
      <c r="F100">
        <v>100125</v>
      </c>
      <c r="G100">
        <f t="shared" ca="1" si="15"/>
        <v>100125</v>
      </c>
      <c r="H100">
        <f t="shared" ca="1" si="16"/>
        <v>1.9975031210986267</v>
      </c>
      <c r="I100">
        <f t="shared" ca="1" si="17"/>
        <v>0</v>
      </c>
      <c r="J100">
        <f t="shared" ca="1" si="18"/>
        <v>11.985018726591761</v>
      </c>
      <c r="K100">
        <f t="shared" ca="1" si="19"/>
        <v>0</v>
      </c>
    </row>
    <row r="101" spans="1:11" x14ac:dyDescent="0.3">
      <c r="A101" t="s">
        <v>49</v>
      </c>
      <c r="B101">
        <v>10</v>
      </c>
      <c r="C101">
        <v>100127</v>
      </c>
      <c r="D101">
        <v>100125</v>
      </c>
      <c r="E101">
        <v>100137</v>
      </c>
      <c r="F101">
        <v>100125</v>
      </c>
      <c r="G101">
        <f t="shared" ca="1" si="15"/>
        <v>100125</v>
      </c>
      <c r="H101">
        <f t="shared" ca="1" si="16"/>
        <v>1.9975031210986267</v>
      </c>
      <c r="I101">
        <f t="shared" ca="1" si="17"/>
        <v>0</v>
      </c>
      <c r="J101">
        <f t="shared" ca="1" si="18"/>
        <v>11.985018726591761</v>
      </c>
      <c r="K101">
        <f t="shared" ca="1" si="19"/>
        <v>0</v>
      </c>
    </row>
    <row r="102" spans="1:11" x14ac:dyDescent="0.3">
      <c r="A102" t="s">
        <v>10</v>
      </c>
      <c r="B102">
        <v>1</v>
      </c>
      <c r="C102">
        <v>250410</v>
      </c>
      <c r="D102">
        <v>250473</v>
      </c>
      <c r="E102">
        <v>250633</v>
      </c>
      <c r="F102">
        <v>250472</v>
      </c>
      <c r="G102">
        <f t="shared" ca="1" si="15"/>
        <v>250382</v>
      </c>
      <c r="H102">
        <f t="shared" ca="1" si="16"/>
        <v>11.182912509685202</v>
      </c>
      <c r="I102">
        <f t="shared" ca="1" si="17"/>
        <v>36.344465656476899</v>
      </c>
      <c r="J102">
        <f t="shared" ca="1" si="18"/>
        <v>100.24682285467804</v>
      </c>
      <c r="K102">
        <f t="shared" ca="1" si="19"/>
        <v>35.945075923988142</v>
      </c>
    </row>
    <row r="103" spans="1:11" x14ac:dyDescent="0.3">
      <c r="A103" t="s">
        <v>10</v>
      </c>
      <c r="B103">
        <v>2</v>
      </c>
      <c r="C103">
        <v>250394</v>
      </c>
      <c r="D103">
        <v>250474</v>
      </c>
      <c r="E103">
        <v>250528</v>
      </c>
      <c r="F103">
        <v>250472</v>
      </c>
      <c r="G103">
        <f t="shared" ca="1" si="15"/>
        <v>250382</v>
      </c>
      <c r="H103">
        <f t="shared" ca="1" si="16"/>
        <v>4.7926767898650864</v>
      </c>
      <c r="I103">
        <f t="shared" ca="1" si="17"/>
        <v>36.743855388965663</v>
      </c>
      <c r="J103">
        <f t="shared" ca="1" si="18"/>
        <v>58.310900943358547</v>
      </c>
      <c r="K103">
        <f t="shared" ca="1" si="19"/>
        <v>35.945075923988142</v>
      </c>
    </row>
    <row r="104" spans="1:11" x14ac:dyDescent="0.3">
      <c r="A104" t="s">
        <v>50</v>
      </c>
      <c r="B104">
        <v>3</v>
      </c>
      <c r="C104">
        <v>250395</v>
      </c>
      <c r="D104">
        <v>250473</v>
      </c>
      <c r="E104">
        <v>250525</v>
      </c>
      <c r="F104">
        <v>250486</v>
      </c>
      <c r="G104">
        <f t="shared" ca="1" si="15"/>
        <v>250382</v>
      </c>
      <c r="H104">
        <f t="shared" ca="1" si="16"/>
        <v>5.1920665223538434</v>
      </c>
      <c r="I104">
        <f t="shared" ca="1" si="17"/>
        <v>36.344465656476899</v>
      </c>
      <c r="J104">
        <f t="shared" ca="1" si="18"/>
        <v>57.112731745892276</v>
      </c>
      <c r="K104">
        <f t="shared" ca="1" si="19"/>
        <v>41.536532178830747</v>
      </c>
    </row>
    <row r="105" spans="1:11" x14ac:dyDescent="0.3">
      <c r="A105" t="s">
        <v>50</v>
      </c>
      <c r="B105">
        <v>4</v>
      </c>
      <c r="C105">
        <v>250400</v>
      </c>
      <c r="D105">
        <v>250473</v>
      </c>
      <c r="E105">
        <v>250544</v>
      </c>
      <c r="F105">
        <v>250468</v>
      </c>
      <c r="G105">
        <f t="shared" ca="1" si="15"/>
        <v>250382</v>
      </c>
      <c r="H105">
        <f t="shared" ca="1" si="16"/>
        <v>7.1890151847976291</v>
      </c>
      <c r="I105">
        <f t="shared" ca="1" si="17"/>
        <v>36.344465656476899</v>
      </c>
      <c r="J105">
        <f t="shared" ca="1" si="18"/>
        <v>64.701136663178659</v>
      </c>
      <c r="K105">
        <f t="shared" ca="1" si="19"/>
        <v>34.347516994033114</v>
      </c>
    </row>
    <row r="106" spans="1:11" x14ac:dyDescent="0.3">
      <c r="A106" t="s">
        <v>50</v>
      </c>
      <c r="B106">
        <v>5</v>
      </c>
      <c r="C106">
        <v>250420</v>
      </c>
      <c r="D106">
        <v>250468</v>
      </c>
      <c r="E106">
        <v>250577</v>
      </c>
      <c r="F106">
        <v>250490</v>
      </c>
      <c r="G106">
        <f t="shared" ca="1" si="15"/>
        <v>250382</v>
      </c>
      <c r="H106">
        <f t="shared" ca="1" si="16"/>
        <v>15.176809834572774</v>
      </c>
      <c r="I106">
        <f t="shared" ca="1" si="17"/>
        <v>34.347516994033114</v>
      </c>
      <c r="J106">
        <f t="shared" ca="1" si="18"/>
        <v>77.880997835307653</v>
      </c>
      <c r="K106">
        <f t="shared" ca="1" si="19"/>
        <v>43.134091108785782</v>
      </c>
    </row>
    <row r="107" spans="1:11" x14ac:dyDescent="0.3">
      <c r="A107" t="s">
        <v>50</v>
      </c>
      <c r="B107">
        <v>6</v>
      </c>
      <c r="C107">
        <v>250416</v>
      </c>
      <c r="D107">
        <v>250471</v>
      </c>
      <c r="E107">
        <v>250546</v>
      </c>
      <c r="F107">
        <v>250502</v>
      </c>
      <c r="G107">
        <f t="shared" ca="1" si="15"/>
        <v>250382</v>
      </c>
      <c r="H107">
        <f t="shared" ca="1" si="16"/>
        <v>13.579250904617744</v>
      </c>
      <c r="I107">
        <f t="shared" ca="1" si="17"/>
        <v>35.545686191499392</v>
      </c>
      <c r="J107">
        <f t="shared" ca="1" si="18"/>
        <v>65.499916128156173</v>
      </c>
      <c r="K107">
        <f t="shared" ca="1" si="19"/>
        <v>47.926767898650866</v>
      </c>
    </row>
    <row r="108" spans="1:11" x14ac:dyDescent="0.3">
      <c r="A108" t="s">
        <v>50</v>
      </c>
      <c r="B108">
        <v>7</v>
      </c>
      <c r="C108">
        <v>250382</v>
      </c>
      <c r="D108">
        <v>250472</v>
      </c>
      <c r="E108">
        <v>250539</v>
      </c>
      <c r="F108">
        <v>250483</v>
      </c>
      <c r="G108">
        <f t="shared" ca="1" si="15"/>
        <v>250382</v>
      </c>
      <c r="H108">
        <f t="shared" ca="1" si="16"/>
        <v>0</v>
      </c>
      <c r="I108">
        <f t="shared" ca="1" si="17"/>
        <v>35.945075923988142</v>
      </c>
      <c r="J108">
        <f t="shared" ca="1" si="18"/>
        <v>62.704188000734881</v>
      </c>
      <c r="K108">
        <f t="shared" ca="1" si="19"/>
        <v>40.338362981364476</v>
      </c>
    </row>
    <row r="109" spans="1:11" x14ac:dyDescent="0.3">
      <c r="A109" t="s">
        <v>50</v>
      </c>
      <c r="B109">
        <v>8</v>
      </c>
      <c r="C109">
        <v>250406</v>
      </c>
      <c r="D109">
        <v>250472</v>
      </c>
      <c r="E109">
        <v>250557</v>
      </c>
      <c r="F109">
        <v>250483</v>
      </c>
      <c r="G109">
        <f t="shared" ca="1" si="15"/>
        <v>250382</v>
      </c>
      <c r="H109">
        <f t="shared" ca="1" si="16"/>
        <v>9.5853535797301728</v>
      </c>
      <c r="I109">
        <f t="shared" ca="1" si="17"/>
        <v>35.945075923988142</v>
      </c>
      <c r="J109">
        <f t="shared" ca="1" si="18"/>
        <v>69.893203185532514</v>
      </c>
      <c r="K109">
        <f t="shared" ca="1" si="19"/>
        <v>40.338362981364476</v>
      </c>
    </row>
    <row r="110" spans="1:11" x14ac:dyDescent="0.3">
      <c r="A110" t="s">
        <v>50</v>
      </c>
      <c r="B110">
        <v>9</v>
      </c>
      <c r="C110">
        <v>250415</v>
      </c>
      <c r="D110">
        <v>250472</v>
      </c>
      <c r="E110">
        <v>250564</v>
      </c>
      <c r="F110">
        <v>250483</v>
      </c>
      <c r="G110">
        <f t="shared" ca="1" si="15"/>
        <v>250382</v>
      </c>
      <c r="H110">
        <f t="shared" ca="1" si="16"/>
        <v>13.179861172128986</v>
      </c>
      <c r="I110">
        <f t="shared" ca="1" si="17"/>
        <v>35.945075923988142</v>
      </c>
      <c r="J110">
        <f t="shared" ca="1" si="18"/>
        <v>72.688931312953798</v>
      </c>
      <c r="K110">
        <f t="shared" ca="1" si="19"/>
        <v>40.338362981364476</v>
      </c>
    </row>
    <row r="111" spans="1:11" x14ac:dyDescent="0.3">
      <c r="A111" t="s">
        <v>50</v>
      </c>
      <c r="B111">
        <v>10</v>
      </c>
      <c r="C111">
        <v>250384</v>
      </c>
      <c r="D111">
        <v>250472</v>
      </c>
      <c r="E111">
        <v>250560</v>
      </c>
      <c r="F111">
        <v>250509</v>
      </c>
      <c r="G111">
        <f t="shared" ca="1" si="15"/>
        <v>250382</v>
      </c>
      <c r="H111">
        <f t="shared" ca="1" si="16"/>
        <v>0.7987794649775144</v>
      </c>
      <c r="I111">
        <f t="shared" ca="1" si="17"/>
        <v>35.945075923988142</v>
      </c>
      <c r="J111">
        <f t="shared" ca="1" si="18"/>
        <v>71.091372382998784</v>
      </c>
      <c r="K111">
        <f t="shared" ca="1" si="19"/>
        <v>50.722496026072164</v>
      </c>
    </row>
    <row r="112" spans="1:11" x14ac:dyDescent="0.3">
      <c r="A112" t="s">
        <v>11</v>
      </c>
      <c r="B112">
        <v>1</v>
      </c>
      <c r="C112">
        <v>210179</v>
      </c>
      <c r="D112">
        <v>210225</v>
      </c>
      <c r="E112">
        <v>210225</v>
      </c>
      <c r="F112">
        <v>210186</v>
      </c>
      <c r="G112">
        <f t="shared" ca="1" si="15"/>
        <v>210169</v>
      </c>
      <c r="H112">
        <f t="shared" ca="1" si="16"/>
        <v>4.7580756438865865</v>
      </c>
      <c r="I112">
        <f t="shared" ca="1" si="17"/>
        <v>26.645223605764883</v>
      </c>
      <c r="J112">
        <f t="shared" ca="1" si="18"/>
        <v>26.645223605764883</v>
      </c>
      <c r="K112">
        <f t="shared" ca="1" si="19"/>
        <v>8.088728594607197</v>
      </c>
    </row>
    <row r="113" spans="1:11" x14ac:dyDescent="0.3">
      <c r="A113" t="s">
        <v>11</v>
      </c>
      <c r="B113">
        <v>2</v>
      </c>
      <c r="C113">
        <v>210179</v>
      </c>
      <c r="D113">
        <v>210215</v>
      </c>
      <c r="E113">
        <v>210196</v>
      </c>
      <c r="F113">
        <v>210198</v>
      </c>
      <c r="G113">
        <f t="shared" ca="1" si="15"/>
        <v>210169</v>
      </c>
      <c r="H113">
        <f t="shared" ca="1" si="16"/>
        <v>4.7580756438865865</v>
      </c>
      <c r="I113">
        <f t="shared" ca="1" si="17"/>
        <v>21.887147961878298</v>
      </c>
      <c r="J113">
        <f t="shared" ca="1" si="18"/>
        <v>12.846804238493784</v>
      </c>
      <c r="K113">
        <f t="shared" ca="1" si="19"/>
        <v>13.798419367271102</v>
      </c>
    </row>
    <row r="114" spans="1:11" x14ac:dyDescent="0.3">
      <c r="A114" t="s">
        <v>51</v>
      </c>
      <c r="B114">
        <v>3</v>
      </c>
      <c r="C114">
        <v>210180</v>
      </c>
      <c r="D114">
        <v>210225</v>
      </c>
      <c r="E114">
        <v>210219</v>
      </c>
      <c r="F114">
        <v>210184</v>
      </c>
      <c r="G114">
        <f t="shared" ca="1" si="15"/>
        <v>210169</v>
      </c>
      <c r="H114">
        <f t="shared" ca="1" si="16"/>
        <v>5.2338832082752447</v>
      </c>
      <c r="I114">
        <f t="shared" ca="1" si="17"/>
        <v>26.645223605764883</v>
      </c>
      <c r="J114">
        <f t="shared" ca="1" si="18"/>
        <v>23.790378219432935</v>
      </c>
      <c r="K114">
        <f t="shared" ca="1" si="19"/>
        <v>7.1371134658298798</v>
      </c>
    </row>
    <row r="115" spans="1:11" x14ac:dyDescent="0.3">
      <c r="A115" t="s">
        <v>51</v>
      </c>
      <c r="B115">
        <v>4</v>
      </c>
      <c r="C115">
        <v>210197</v>
      </c>
      <c r="D115">
        <v>210209</v>
      </c>
      <c r="E115">
        <v>210204</v>
      </c>
      <c r="F115">
        <v>210187</v>
      </c>
      <c r="G115">
        <f t="shared" ca="1" si="15"/>
        <v>210169</v>
      </c>
      <c r="H115">
        <f t="shared" ca="1" si="16"/>
        <v>13.322611802882442</v>
      </c>
      <c r="I115">
        <f t="shared" ca="1" si="17"/>
        <v>19.032302575546346</v>
      </c>
      <c r="J115">
        <f t="shared" ca="1" si="18"/>
        <v>16.653264753603054</v>
      </c>
      <c r="K115">
        <f t="shared" ca="1" si="19"/>
        <v>8.5645361589958551</v>
      </c>
    </row>
    <row r="116" spans="1:11" x14ac:dyDescent="0.3">
      <c r="A116" t="s">
        <v>51</v>
      </c>
      <c r="B116">
        <v>5</v>
      </c>
      <c r="C116">
        <v>210180</v>
      </c>
      <c r="D116">
        <v>210209</v>
      </c>
      <c r="E116">
        <v>210210</v>
      </c>
      <c r="F116">
        <v>210200</v>
      </c>
      <c r="G116">
        <f t="shared" ca="1" si="15"/>
        <v>210169</v>
      </c>
      <c r="H116">
        <f t="shared" ca="1" si="16"/>
        <v>5.2338832082752447</v>
      </c>
      <c r="I116">
        <f t="shared" ca="1" si="17"/>
        <v>19.032302575546346</v>
      </c>
      <c r="J116">
        <f t="shared" ca="1" si="18"/>
        <v>19.508110139935003</v>
      </c>
      <c r="K116">
        <f t="shared" ca="1" si="19"/>
        <v>14.750034496048418</v>
      </c>
    </row>
    <row r="117" spans="1:11" x14ac:dyDescent="0.3">
      <c r="A117" t="s">
        <v>51</v>
      </c>
      <c r="B117">
        <v>6</v>
      </c>
      <c r="C117">
        <v>210169</v>
      </c>
      <c r="D117">
        <v>210205</v>
      </c>
      <c r="E117">
        <v>210194</v>
      </c>
      <c r="F117">
        <v>210195</v>
      </c>
      <c r="G117">
        <f t="shared" ca="1" si="15"/>
        <v>210169</v>
      </c>
      <c r="H117">
        <f t="shared" ca="1" si="16"/>
        <v>0</v>
      </c>
      <c r="I117">
        <f t="shared" ca="1" si="17"/>
        <v>17.12907231799171</v>
      </c>
      <c r="J117">
        <f t="shared" ca="1" si="18"/>
        <v>11.895189109716467</v>
      </c>
      <c r="K117">
        <f t="shared" ca="1" si="19"/>
        <v>12.370996674105127</v>
      </c>
    </row>
    <row r="118" spans="1:11" x14ac:dyDescent="0.3">
      <c r="A118" t="s">
        <v>51</v>
      </c>
      <c r="B118">
        <v>7</v>
      </c>
      <c r="C118">
        <v>210188</v>
      </c>
      <c r="D118">
        <v>210227</v>
      </c>
      <c r="E118">
        <v>210195</v>
      </c>
      <c r="F118">
        <v>210195</v>
      </c>
      <c r="G118">
        <f t="shared" ca="1" si="15"/>
        <v>210169</v>
      </c>
      <c r="H118">
        <f t="shared" ca="1" si="16"/>
        <v>9.040343723384515</v>
      </c>
      <c r="I118">
        <f t="shared" ca="1" si="17"/>
        <v>27.596838734542203</v>
      </c>
      <c r="J118">
        <f t="shared" ca="1" si="18"/>
        <v>12.370996674105127</v>
      </c>
      <c r="K118">
        <f t="shared" ca="1" si="19"/>
        <v>12.370996674105127</v>
      </c>
    </row>
    <row r="119" spans="1:11" x14ac:dyDescent="0.3">
      <c r="A119" t="s">
        <v>51</v>
      </c>
      <c r="B119">
        <v>8</v>
      </c>
      <c r="C119">
        <v>210174</v>
      </c>
      <c r="D119">
        <v>210209</v>
      </c>
      <c r="E119">
        <v>210210</v>
      </c>
      <c r="F119">
        <v>210181</v>
      </c>
      <c r="G119">
        <f t="shared" ca="1" si="15"/>
        <v>210169</v>
      </c>
      <c r="H119">
        <f t="shared" ca="1" si="16"/>
        <v>2.3790378219432933</v>
      </c>
      <c r="I119">
        <f t="shared" ca="1" si="17"/>
        <v>19.032302575546346</v>
      </c>
      <c r="J119">
        <f t="shared" ca="1" si="18"/>
        <v>19.508110139935003</v>
      </c>
      <c r="K119">
        <f t="shared" ca="1" si="19"/>
        <v>5.7096907726639037</v>
      </c>
    </row>
    <row r="120" spans="1:11" x14ac:dyDescent="0.3">
      <c r="A120" t="s">
        <v>51</v>
      </c>
      <c r="B120">
        <v>9</v>
      </c>
      <c r="C120">
        <v>210181</v>
      </c>
      <c r="D120">
        <v>210201</v>
      </c>
      <c r="E120">
        <v>210221</v>
      </c>
      <c r="F120">
        <v>210197</v>
      </c>
      <c r="G120">
        <f t="shared" ca="1" si="15"/>
        <v>210169</v>
      </c>
      <c r="H120">
        <f t="shared" ca="1" si="16"/>
        <v>5.7096907726639037</v>
      </c>
      <c r="I120">
        <f t="shared" ca="1" si="17"/>
        <v>15.225842060437079</v>
      </c>
      <c r="J120">
        <f t="shared" ca="1" si="18"/>
        <v>24.741993348210254</v>
      </c>
      <c r="K120">
        <f t="shared" ca="1" si="19"/>
        <v>13.322611802882442</v>
      </c>
    </row>
    <row r="121" spans="1:11" x14ac:dyDescent="0.3">
      <c r="A121" t="s">
        <v>51</v>
      </c>
      <c r="B121">
        <v>10</v>
      </c>
      <c r="C121">
        <v>210172</v>
      </c>
      <c r="D121">
        <v>210197</v>
      </c>
      <c r="E121">
        <v>210200</v>
      </c>
      <c r="F121">
        <v>210198</v>
      </c>
      <c r="G121">
        <f t="shared" ca="1" si="15"/>
        <v>210169</v>
      </c>
      <c r="H121">
        <f t="shared" ca="1" si="16"/>
        <v>1.4274226931659759</v>
      </c>
      <c r="I121">
        <f t="shared" ca="1" si="17"/>
        <v>13.322611802882442</v>
      </c>
      <c r="J121">
        <f t="shared" ca="1" si="18"/>
        <v>14.750034496048418</v>
      </c>
      <c r="K121">
        <f t="shared" ca="1" si="19"/>
        <v>13.798419367271102</v>
      </c>
    </row>
    <row r="122" spans="1:11" x14ac:dyDescent="0.3">
      <c r="A122" t="s">
        <v>61</v>
      </c>
      <c r="B122">
        <v>1</v>
      </c>
      <c r="C122">
        <v>210341</v>
      </c>
      <c r="D122">
        <v>210352</v>
      </c>
      <c r="E122">
        <v>210482</v>
      </c>
      <c r="F122">
        <v>210354</v>
      </c>
      <c r="G122">
        <f t="shared" ca="1" si="15"/>
        <v>210334</v>
      </c>
      <c r="H122">
        <f t="shared" ca="1" si="16"/>
        <v>3.3280401646904449</v>
      </c>
      <c r="I122">
        <f t="shared" ca="1" si="17"/>
        <v>8.5578175663468574</v>
      </c>
      <c r="J122">
        <f t="shared" ca="1" si="18"/>
        <v>70.36427776774083</v>
      </c>
      <c r="K122">
        <f t="shared" ca="1" si="19"/>
        <v>9.5086861848298412</v>
      </c>
    </row>
    <row r="123" spans="1:11" x14ac:dyDescent="0.3">
      <c r="A123" t="s">
        <v>61</v>
      </c>
      <c r="B123">
        <v>2</v>
      </c>
      <c r="C123">
        <v>210346</v>
      </c>
      <c r="D123">
        <v>210352</v>
      </c>
      <c r="E123">
        <v>210472</v>
      </c>
      <c r="F123">
        <v>210334</v>
      </c>
      <c r="G123">
        <f t="shared" ca="1" si="15"/>
        <v>210334</v>
      </c>
      <c r="H123">
        <f t="shared" ca="1" si="16"/>
        <v>5.7052117108979044</v>
      </c>
      <c r="I123">
        <f t="shared" ca="1" si="17"/>
        <v>8.5578175663468574</v>
      </c>
      <c r="J123">
        <f t="shared" ca="1" si="18"/>
        <v>65.609934675325903</v>
      </c>
      <c r="K123">
        <f t="shared" ca="1" si="19"/>
        <v>0</v>
      </c>
    </row>
    <row r="124" spans="1:11" x14ac:dyDescent="0.3">
      <c r="A124" t="s">
        <v>12</v>
      </c>
      <c r="B124">
        <v>3</v>
      </c>
      <c r="C124">
        <v>210334</v>
      </c>
      <c r="D124">
        <v>210350</v>
      </c>
      <c r="E124">
        <v>210485</v>
      </c>
      <c r="F124">
        <v>210391</v>
      </c>
      <c r="G124">
        <f t="shared" ca="1" si="15"/>
        <v>210334</v>
      </c>
      <c r="H124">
        <f t="shared" ca="1" si="16"/>
        <v>0</v>
      </c>
      <c r="I124">
        <f t="shared" ca="1" si="17"/>
        <v>7.6069489478638737</v>
      </c>
      <c r="J124">
        <f t="shared" ca="1" si="18"/>
        <v>71.790580695465309</v>
      </c>
      <c r="K124">
        <f t="shared" ca="1" si="19"/>
        <v>27.099755626765052</v>
      </c>
    </row>
    <row r="125" spans="1:11" x14ac:dyDescent="0.3">
      <c r="A125" t="s">
        <v>12</v>
      </c>
      <c r="B125">
        <v>4</v>
      </c>
      <c r="C125">
        <v>210363</v>
      </c>
      <c r="D125">
        <v>210353</v>
      </c>
      <c r="E125">
        <v>210459</v>
      </c>
      <c r="F125">
        <v>210380</v>
      </c>
      <c r="G125">
        <f t="shared" ca="1" si="15"/>
        <v>210334</v>
      </c>
      <c r="H125">
        <f t="shared" ca="1" si="16"/>
        <v>13.787594968003269</v>
      </c>
      <c r="I125">
        <f t="shared" ca="1" si="17"/>
        <v>9.0332518755883484</v>
      </c>
      <c r="J125">
        <f t="shared" ca="1" si="18"/>
        <v>59.429288655186504</v>
      </c>
      <c r="K125">
        <f t="shared" ca="1" si="19"/>
        <v>21.869978225108639</v>
      </c>
    </row>
    <row r="126" spans="1:11" x14ac:dyDescent="0.3">
      <c r="A126" t="s">
        <v>12</v>
      </c>
      <c r="B126">
        <v>5</v>
      </c>
      <c r="C126">
        <v>210360</v>
      </c>
      <c r="D126">
        <v>210353</v>
      </c>
      <c r="E126">
        <v>210510</v>
      </c>
      <c r="F126">
        <v>210347</v>
      </c>
      <c r="G126">
        <f t="shared" ca="1" si="15"/>
        <v>210334</v>
      </c>
      <c r="H126">
        <f t="shared" ca="1" si="16"/>
        <v>12.361292040278794</v>
      </c>
      <c r="I126">
        <f t="shared" ca="1" si="17"/>
        <v>9.0332518755883484</v>
      </c>
      <c r="J126">
        <f t="shared" ca="1" si="18"/>
        <v>83.6764384265026</v>
      </c>
      <c r="K126">
        <f t="shared" ca="1" si="19"/>
        <v>6.1806460201393971</v>
      </c>
    </row>
    <row r="127" spans="1:11" x14ac:dyDescent="0.3">
      <c r="A127" t="s">
        <v>12</v>
      </c>
      <c r="B127">
        <v>6</v>
      </c>
      <c r="C127">
        <v>210343</v>
      </c>
      <c r="D127">
        <v>210350</v>
      </c>
      <c r="E127">
        <v>210414</v>
      </c>
      <c r="F127">
        <v>210364</v>
      </c>
      <c r="G127">
        <f t="shared" ca="1" si="15"/>
        <v>210334</v>
      </c>
      <c r="H127">
        <f t="shared" ca="1" si="16"/>
        <v>4.2789087831734287</v>
      </c>
      <c r="I127">
        <f t="shared" ca="1" si="17"/>
        <v>7.6069489478638737</v>
      </c>
      <c r="J127">
        <f t="shared" ca="1" si="18"/>
        <v>38.034744739319365</v>
      </c>
      <c r="K127">
        <f t="shared" ca="1" si="19"/>
        <v>14.263029277244762</v>
      </c>
    </row>
    <row r="128" spans="1:11" x14ac:dyDescent="0.3">
      <c r="A128" t="s">
        <v>12</v>
      </c>
      <c r="B128">
        <v>7</v>
      </c>
      <c r="C128">
        <v>210360</v>
      </c>
      <c r="D128">
        <v>210348</v>
      </c>
      <c r="E128">
        <v>210457</v>
      </c>
      <c r="F128">
        <v>210391</v>
      </c>
      <c r="G128">
        <f t="shared" ca="1" si="15"/>
        <v>210334</v>
      </c>
      <c r="H128">
        <f t="shared" ca="1" si="16"/>
        <v>12.361292040278794</v>
      </c>
      <c r="I128">
        <f t="shared" ca="1" si="17"/>
        <v>6.6560803293808899</v>
      </c>
      <c r="J128">
        <f t="shared" ca="1" si="18"/>
        <v>58.478420036703533</v>
      </c>
      <c r="K128">
        <f t="shared" ca="1" si="19"/>
        <v>27.099755626765052</v>
      </c>
    </row>
    <row r="129" spans="1:11" x14ac:dyDescent="0.3">
      <c r="A129" t="s">
        <v>12</v>
      </c>
      <c r="B129">
        <v>8</v>
      </c>
      <c r="C129">
        <v>210341</v>
      </c>
      <c r="D129">
        <v>210350</v>
      </c>
      <c r="E129">
        <v>210430</v>
      </c>
      <c r="F129">
        <v>210373</v>
      </c>
      <c r="G129">
        <f t="shared" ca="1" si="15"/>
        <v>210334</v>
      </c>
      <c r="H129">
        <f t="shared" ca="1" si="16"/>
        <v>3.3280401646904449</v>
      </c>
      <c r="I129">
        <f t="shared" ca="1" si="17"/>
        <v>7.6069489478638737</v>
      </c>
      <c r="J129">
        <f t="shared" ca="1" si="18"/>
        <v>45.641693687183235</v>
      </c>
      <c r="K129">
        <f t="shared" ca="1" si="19"/>
        <v>18.541938060418193</v>
      </c>
    </row>
    <row r="130" spans="1:11" x14ac:dyDescent="0.3">
      <c r="A130" t="s">
        <v>12</v>
      </c>
      <c r="B130">
        <v>9</v>
      </c>
      <c r="C130">
        <v>210340</v>
      </c>
      <c r="D130">
        <v>210353</v>
      </c>
      <c r="E130">
        <v>210487</v>
      </c>
      <c r="F130">
        <v>210408</v>
      </c>
      <c r="G130">
        <f t="shared" ca="1" si="15"/>
        <v>210334</v>
      </c>
      <c r="H130">
        <f t="shared" ca="1" si="16"/>
        <v>2.8526058554489522</v>
      </c>
      <c r="I130">
        <f t="shared" ca="1" si="17"/>
        <v>9.0332518755883484</v>
      </c>
      <c r="J130">
        <f t="shared" ca="1" si="18"/>
        <v>72.741449313948294</v>
      </c>
      <c r="K130">
        <f t="shared" ca="1" si="19"/>
        <v>35.182138883870415</v>
      </c>
    </row>
    <row r="131" spans="1:11" x14ac:dyDescent="0.3">
      <c r="A131" t="s">
        <v>12</v>
      </c>
      <c r="B131">
        <v>10</v>
      </c>
      <c r="C131">
        <v>210338</v>
      </c>
      <c r="D131">
        <v>210350</v>
      </c>
      <c r="E131">
        <v>210463</v>
      </c>
      <c r="F131">
        <v>210383</v>
      </c>
      <c r="G131">
        <f t="shared" ref="G131:G194" ca="1" si="20">MIN(INDIRECT("C" &amp; (10*INT((ROW()-2)/10)+2) &amp; ":F" &amp; (10*INT((ROW()-2)/10)+11)))</f>
        <v>210334</v>
      </c>
      <c r="H131">
        <f t="shared" ref="H131:H194" ca="1" si="21">(C131-OFFSET($G$2, 10*INT((ROW()-2)/10), 0))/OFFSET($G$2, 10*INT((ROW()-2)/10), 0)*100*1000</f>
        <v>1.9017372369659684</v>
      </c>
      <c r="I131">
        <f t="shared" ref="I131:I194" ca="1" si="22">(D131-OFFSET($G$2, 10*INT((ROW()-2)/10), 0))/OFFSET($G$2, 10*INT((ROW()-2)/10), 0)*100*1000</f>
        <v>7.6069489478638737</v>
      </c>
      <c r="J131">
        <f t="shared" ref="J131:J194" ca="1" si="23">(E131-OFFSET($G$2, 10*INT((ROW()-2)/10), 0))/OFFSET($G$2, 10*INT((ROW()-2)/10), 0)*100*1000</f>
        <v>61.331025892152482</v>
      </c>
      <c r="K131">
        <f t="shared" ref="K131:K194" ca="1" si="24">(F131-OFFSET($G$2, 10*INT((ROW()-2)/10), 0))/OFFSET($G$2, 10*INT((ROW()-2)/10), 0)*100*1000</f>
        <v>23.296281152833114</v>
      </c>
    </row>
    <row r="132" spans="1:11" x14ac:dyDescent="0.3">
      <c r="A132" t="s">
        <v>62</v>
      </c>
      <c r="B132">
        <v>1</v>
      </c>
      <c r="C132">
        <v>260573</v>
      </c>
      <c r="D132">
        <v>260643</v>
      </c>
      <c r="E132">
        <v>260703</v>
      </c>
      <c r="F132">
        <v>260650</v>
      </c>
      <c r="G132">
        <f t="shared" ca="1" si="20"/>
        <v>260556</v>
      </c>
      <c r="H132">
        <f t="shared" ca="1" si="21"/>
        <v>6.5245091266368842</v>
      </c>
      <c r="I132">
        <f t="shared" ca="1" si="22"/>
        <v>33.390134942200525</v>
      </c>
      <c r="J132">
        <f t="shared" ca="1" si="23"/>
        <v>56.417814212683645</v>
      </c>
      <c r="K132">
        <f t="shared" ca="1" si="24"/>
        <v>36.076697523756891</v>
      </c>
    </row>
    <row r="133" spans="1:11" x14ac:dyDescent="0.3">
      <c r="A133" t="s">
        <v>62</v>
      </c>
      <c r="B133">
        <v>2</v>
      </c>
      <c r="C133">
        <v>260579</v>
      </c>
      <c r="D133">
        <v>260624</v>
      </c>
      <c r="E133">
        <v>260761</v>
      </c>
      <c r="F133">
        <v>260617</v>
      </c>
      <c r="G133">
        <f t="shared" ca="1" si="20"/>
        <v>260556</v>
      </c>
      <c r="H133">
        <f t="shared" ca="1" si="21"/>
        <v>8.8272770536851972</v>
      </c>
      <c r="I133">
        <f t="shared" ca="1" si="22"/>
        <v>26.098036506547537</v>
      </c>
      <c r="J133">
        <f t="shared" ca="1" si="23"/>
        <v>78.677904174150669</v>
      </c>
      <c r="K133">
        <f t="shared" ca="1" si="24"/>
        <v>23.411473924991174</v>
      </c>
    </row>
    <row r="134" spans="1:11" x14ac:dyDescent="0.3">
      <c r="A134" t="s">
        <v>13</v>
      </c>
      <c r="B134">
        <v>3</v>
      </c>
      <c r="C134">
        <v>260562</v>
      </c>
      <c r="D134">
        <v>260648</v>
      </c>
      <c r="E134">
        <v>260678</v>
      </c>
      <c r="F134">
        <v>260649</v>
      </c>
      <c r="G134">
        <f t="shared" ca="1" si="20"/>
        <v>260556</v>
      </c>
      <c r="H134">
        <f t="shared" ca="1" si="21"/>
        <v>2.3027679270483121</v>
      </c>
      <c r="I134">
        <f t="shared" ca="1" si="22"/>
        <v>35.309108214740789</v>
      </c>
      <c r="J134">
        <f t="shared" ca="1" si="23"/>
        <v>46.822947849982349</v>
      </c>
      <c r="K134">
        <f t="shared" ca="1" si="24"/>
        <v>35.69290286924884</v>
      </c>
    </row>
    <row r="135" spans="1:11" x14ac:dyDescent="0.3">
      <c r="A135" t="s">
        <v>13</v>
      </c>
      <c r="B135">
        <v>4</v>
      </c>
      <c r="C135">
        <v>260609</v>
      </c>
      <c r="D135">
        <v>260617</v>
      </c>
      <c r="E135">
        <v>260692</v>
      </c>
      <c r="F135">
        <v>260618</v>
      </c>
      <c r="G135">
        <f t="shared" ca="1" si="20"/>
        <v>260556</v>
      </c>
      <c r="H135">
        <f t="shared" ca="1" si="21"/>
        <v>20.341116688926757</v>
      </c>
      <c r="I135">
        <f t="shared" ca="1" si="22"/>
        <v>23.411473924991174</v>
      </c>
      <c r="J135">
        <f t="shared" ca="1" si="23"/>
        <v>52.196073013095074</v>
      </c>
      <c r="K135">
        <f t="shared" ca="1" si="24"/>
        <v>23.795268579499226</v>
      </c>
    </row>
    <row r="136" spans="1:11" x14ac:dyDescent="0.3">
      <c r="A136" t="s">
        <v>13</v>
      </c>
      <c r="B136">
        <v>5</v>
      </c>
      <c r="C136">
        <v>260556</v>
      </c>
      <c r="D136">
        <v>260643</v>
      </c>
      <c r="E136">
        <v>260688</v>
      </c>
      <c r="F136">
        <v>260652</v>
      </c>
      <c r="G136">
        <f t="shared" ca="1" si="20"/>
        <v>260556</v>
      </c>
      <c r="H136">
        <f t="shared" ca="1" si="21"/>
        <v>0</v>
      </c>
      <c r="I136">
        <f t="shared" ca="1" si="22"/>
        <v>33.390134942200525</v>
      </c>
      <c r="J136">
        <f t="shared" ca="1" si="23"/>
        <v>50.660894395062869</v>
      </c>
      <c r="K136">
        <f t="shared" ca="1" si="24"/>
        <v>36.844286832772994</v>
      </c>
    </row>
    <row r="137" spans="1:11" x14ac:dyDescent="0.3">
      <c r="A137" t="s">
        <v>13</v>
      </c>
      <c r="B137">
        <v>6</v>
      </c>
      <c r="C137">
        <v>260585</v>
      </c>
      <c r="D137">
        <v>260641</v>
      </c>
      <c r="E137">
        <v>260745</v>
      </c>
      <c r="F137">
        <v>260617</v>
      </c>
      <c r="G137">
        <f t="shared" ca="1" si="20"/>
        <v>260556</v>
      </c>
      <c r="H137">
        <f t="shared" ca="1" si="21"/>
        <v>11.130044980733507</v>
      </c>
      <c r="I137">
        <f t="shared" ca="1" si="22"/>
        <v>32.622545633184416</v>
      </c>
      <c r="J137">
        <f t="shared" ca="1" si="23"/>
        <v>72.537189702021834</v>
      </c>
      <c r="K137">
        <f t="shared" ca="1" si="24"/>
        <v>23.411473924991174</v>
      </c>
    </row>
    <row r="138" spans="1:11" x14ac:dyDescent="0.3">
      <c r="A138" t="s">
        <v>13</v>
      </c>
      <c r="B138">
        <v>7</v>
      </c>
      <c r="C138">
        <v>260590</v>
      </c>
      <c r="D138">
        <v>260645</v>
      </c>
      <c r="E138">
        <v>260716</v>
      </c>
      <c r="F138">
        <v>260666</v>
      </c>
      <c r="G138">
        <f t="shared" ca="1" si="20"/>
        <v>260556</v>
      </c>
      <c r="H138">
        <f t="shared" ca="1" si="21"/>
        <v>13.049018253273768</v>
      </c>
      <c r="I138">
        <f t="shared" ca="1" si="22"/>
        <v>34.157724251216628</v>
      </c>
      <c r="J138">
        <f t="shared" ca="1" si="23"/>
        <v>61.407144721288326</v>
      </c>
      <c r="K138">
        <f t="shared" ca="1" si="24"/>
        <v>42.217411995885726</v>
      </c>
    </row>
    <row r="139" spans="1:11" x14ac:dyDescent="0.3">
      <c r="A139" t="s">
        <v>13</v>
      </c>
      <c r="B139">
        <v>8</v>
      </c>
      <c r="C139">
        <v>260586</v>
      </c>
      <c r="D139">
        <v>260644</v>
      </c>
      <c r="E139">
        <v>260682</v>
      </c>
      <c r="F139">
        <v>260651</v>
      </c>
      <c r="G139">
        <f t="shared" ca="1" si="20"/>
        <v>260556</v>
      </c>
      <c r="H139">
        <f t="shared" ca="1" si="21"/>
        <v>11.51383963524156</v>
      </c>
      <c r="I139">
        <f t="shared" ca="1" si="22"/>
        <v>33.773929596708577</v>
      </c>
      <c r="J139">
        <f t="shared" ca="1" si="23"/>
        <v>48.358126468014554</v>
      </c>
      <c r="K139">
        <f t="shared" ca="1" si="24"/>
        <v>36.460492178264943</v>
      </c>
    </row>
    <row r="140" spans="1:11" x14ac:dyDescent="0.3">
      <c r="A140" t="s">
        <v>13</v>
      </c>
      <c r="B140">
        <v>9</v>
      </c>
      <c r="C140">
        <v>260583</v>
      </c>
      <c r="D140">
        <v>260644</v>
      </c>
      <c r="E140">
        <v>260725</v>
      </c>
      <c r="F140">
        <v>260643</v>
      </c>
      <c r="G140">
        <f t="shared" ca="1" si="20"/>
        <v>260556</v>
      </c>
      <c r="H140">
        <f t="shared" ca="1" si="21"/>
        <v>10.362455671717404</v>
      </c>
      <c r="I140">
        <f t="shared" ca="1" si="22"/>
        <v>33.773929596708577</v>
      </c>
      <c r="J140">
        <f t="shared" ca="1" si="23"/>
        <v>64.86129661186078</v>
      </c>
      <c r="K140">
        <f t="shared" ca="1" si="24"/>
        <v>33.390134942200525</v>
      </c>
    </row>
    <row r="141" spans="1:11" x14ac:dyDescent="0.3">
      <c r="A141" t="s">
        <v>13</v>
      </c>
      <c r="B141">
        <v>10</v>
      </c>
      <c r="C141">
        <v>260566</v>
      </c>
      <c r="D141">
        <v>260642</v>
      </c>
      <c r="E141">
        <v>260708</v>
      </c>
      <c r="F141">
        <v>260655</v>
      </c>
      <c r="G141">
        <f t="shared" ca="1" si="20"/>
        <v>260556</v>
      </c>
      <c r="H141">
        <f t="shared" ca="1" si="21"/>
        <v>3.8379465450805204</v>
      </c>
      <c r="I141">
        <f t="shared" ca="1" si="22"/>
        <v>33.006340287692467</v>
      </c>
      <c r="J141">
        <f t="shared" ca="1" si="23"/>
        <v>58.336787485223901</v>
      </c>
      <c r="K141">
        <f t="shared" ca="1" si="24"/>
        <v>37.995670796297148</v>
      </c>
    </row>
    <row r="142" spans="1:11" x14ac:dyDescent="0.3">
      <c r="A142" t="s">
        <v>63</v>
      </c>
      <c r="B142">
        <v>1</v>
      </c>
      <c r="C142">
        <v>190302</v>
      </c>
      <c r="D142">
        <v>190376</v>
      </c>
      <c r="E142">
        <v>190397</v>
      </c>
      <c r="F142">
        <v>190348</v>
      </c>
      <c r="G142">
        <f t="shared" ca="1" si="20"/>
        <v>190293</v>
      </c>
      <c r="H142">
        <f t="shared" ca="1" si="21"/>
        <v>4.7295486434077976</v>
      </c>
      <c r="I142">
        <f t="shared" ca="1" si="22"/>
        <v>43.616948600316356</v>
      </c>
      <c r="J142">
        <f t="shared" ca="1" si="23"/>
        <v>54.652562101601212</v>
      </c>
      <c r="K142">
        <f t="shared" ca="1" si="24"/>
        <v>28.902797265269875</v>
      </c>
    </row>
    <row r="143" spans="1:11" x14ac:dyDescent="0.3">
      <c r="A143" t="s">
        <v>63</v>
      </c>
      <c r="B143">
        <v>2</v>
      </c>
      <c r="C143">
        <v>190300</v>
      </c>
      <c r="D143">
        <v>190373</v>
      </c>
      <c r="E143">
        <v>190405</v>
      </c>
      <c r="F143">
        <v>190337</v>
      </c>
      <c r="G143">
        <f t="shared" ca="1" si="20"/>
        <v>190293</v>
      </c>
      <c r="H143">
        <f t="shared" ca="1" si="21"/>
        <v>3.6785378337616201</v>
      </c>
      <c r="I143">
        <f t="shared" ca="1" si="22"/>
        <v>42.040432385847083</v>
      </c>
      <c r="J143">
        <f t="shared" ca="1" si="23"/>
        <v>58.856605340185922</v>
      </c>
      <c r="K143">
        <f t="shared" ca="1" si="24"/>
        <v>23.1222378122159</v>
      </c>
    </row>
    <row r="144" spans="1:11" x14ac:dyDescent="0.3">
      <c r="A144" t="s">
        <v>14</v>
      </c>
      <c r="B144">
        <v>3</v>
      </c>
      <c r="C144">
        <v>190319</v>
      </c>
      <c r="D144">
        <v>190374</v>
      </c>
      <c r="E144">
        <v>190418</v>
      </c>
      <c r="F144">
        <v>190351</v>
      </c>
      <c r="G144">
        <f t="shared" ca="1" si="20"/>
        <v>190293</v>
      </c>
      <c r="H144">
        <f t="shared" ca="1" si="21"/>
        <v>13.663140525400303</v>
      </c>
      <c r="I144">
        <f t="shared" ca="1" si="22"/>
        <v>42.565937790670176</v>
      </c>
      <c r="J144">
        <f t="shared" ca="1" si="23"/>
        <v>65.688175602886076</v>
      </c>
      <c r="K144">
        <f t="shared" ca="1" si="24"/>
        <v>30.479313479739137</v>
      </c>
    </row>
    <row r="145" spans="1:11" x14ac:dyDescent="0.3">
      <c r="A145" t="s">
        <v>14</v>
      </c>
      <c r="B145">
        <v>4</v>
      </c>
      <c r="C145">
        <v>190321</v>
      </c>
      <c r="D145">
        <v>190374</v>
      </c>
      <c r="E145">
        <v>190431</v>
      </c>
      <c r="F145">
        <v>190337</v>
      </c>
      <c r="G145">
        <f t="shared" ca="1" si="20"/>
        <v>190293</v>
      </c>
      <c r="H145">
        <f t="shared" ca="1" si="21"/>
        <v>14.714151335046481</v>
      </c>
      <c r="I145">
        <f t="shared" ca="1" si="22"/>
        <v>42.565937790670176</v>
      </c>
      <c r="J145">
        <f t="shared" ca="1" si="23"/>
        <v>72.519745865586245</v>
      </c>
      <c r="K145">
        <f t="shared" ca="1" si="24"/>
        <v>23.1222378122159</v>
      </c>
    </row>
    <row r="146" spans="1:11" x14ac:dyDescent="0.3">
      <c r="A146" t="s">
        <v>14</v>
      </c>
      <c r="B146">
        <v>5</v>
      </c>
      <c r="C146">
        <v>190293</v>
      </c>
      <c r="D146">
        <v>190376</v>
      </c>
      <c r="E146">
        <v>190388</v>
      </c>
      <c r="F146">
        <v>190354</v>
      </c>
      <c r="G146">
        <f t="shared" ca="1" si="20"/>
        <v>190293</v>
      </c>
      <c r="H146">
        <f t="shared" ca="1" si="21"/>
        <v>0</v>
      </c>
      <c r="I146">
        <f t="shared" ca="1" si="22"/>
        <v>43.616948600316356</v>
      </c>
      <c r="J146">
        <f t="shared" ca="1" si="23"/>
        <v>49.923013458193417</v>
      </c>
      <c r="K146">
        <f t="shared" ca="1" si="24"/>
        <v>32.055829694208406</v>
      </c>
    </row>
    <row r="147" spans="1:11" x14ac:dyDescent="0.3">
      <c r="A147" t="s">
        <v>14</v>
      </c>
      <c r="B147">
        <v>6</v>
      </c>
      <c r="C147">
        <v>190322</v>
      </c>
      <c r="D147">
        <v>190373</v>
      </c>
      <c r="E147">
        <v>190417</v>
      </c>
      <c r="F147">
        <v>190343</v>
      </c>
      <c r="G147">
        <f t="shared" ca="1" si="20"/>
        <v>190293</v>
      </c>
      <c r="H147">
        <f t="shared" ca="1" si="21"/>
        <v>15.239656739869568</v>
      </c>
      <c r="I147">
        <f t="shared" ca="1" si="22"/>
        <v>42.040432385847083</v>
      </c>
      <c r="J147">
        <f t="shared" ca="1" si="23"/>
        <v>65.162670198062983</v>
      </c>
      <c r="K147">
        <f t="shared" ca="1" si="24"/>
        <v>26.275270241154431</v>
      </c>
    </row>
    <row r="148" spans="1:11" x14ac:dyDescent="0.3">
      <c r="A148" t="s">
        <v>14</v>
      </c>
      <c r="B148">
        <v>7</v>
      </c>
      <c r="C148">
        <v>190296</v>
      </c>
      <c r="D148">
        <v>190374</v>
      </c>
      <c r="E148">
        <v>190434</v>
      </c>
      <c r="F148">
        <v>190337</v>
      </c>
      <c r="G148">
        <f t="shared" ca="1" si="20"/>
        <v>190293</v>
      </c>
      <c r="H148">
        <f t="shared" ca="1" si="21"/>
        <v>1.5765162144692657</v>
      </c>
      <c r="I148">
        <f t="shared" ca="1" si="22"/>
        <v>42.565937790670176</v>
      </c>
      <c r="J148">
        <f t="shared" ca="1" si="23"/>
        <v>74.096262080055482</v>
      </c>
      <c r="K148">
        <f t="shared" ca="1" si="24"/>
        <v>23.1222378122159</v>
      </c>
    </row>
    <row r="149" spans="1:11" x14ac:dyDescent="0.3">
      <c r="A149" t="s">
        <v>14</v>
      </c>
      <c r="B149">
        <v>8</v>
      </c>
      <c r="C149">
        <v>190299</v>
      </c>
      <c r="D149">
        <v>190373</v>
      </c>
      <c r="E149">
        <v>190382</v>
      </c>
      <c r="F149">
        <v>190344</v>
      </c>
      <c r="G149">
        <f t="shared" ca="1" si="20"/>
        <v>190293</v>
      </c>
      <c r="H149">
        <f t="shared" ca="1" si="21"/>
        <v>3.1530324289385314</v>
      </c>
      <c r="I149">
        <f t="shared" ca="1" si="22"/>
        <v>42.040432385847083</v>
      </c>
      <c r="J149">
        <f t="shared" ca="1" si="23"/>
        <v>46.769981029254886</v>
      </c>
      <c r="K149">
        <f t="shared" ca="1" si="24"/>
        <v>26.80077564597752</v>
      </c>
    </row>
    <row r="150" spans="1:11" x14ac:dyDescent="0.3">
      <c r="A150" t="s">
        <v>14</v>
      </c>
      <c r="B150">
        <v>9</v>
      </c>
      <c r="C150">
        <v>190313</v>
      </c>
      <c r="D150">
        <v>190376</v>
      </c>
      <c r="E150">
        <v>190408</v>
      </c>
      <c r="F150">
        <v>190335</v>
      </c>
      <c r="G150">
        <f t="shared" ca="1" si="20"/>
        <v>190293</v>
      </c>
      <c r="H150">
        <f t="shared" ca="1" si="21"/>
        <v>10.510108096461771</v>
      </c>
      <c r="I150">
        <f t="shared" ca="1" si="22"/>
        <v>43.616948600316356</v>
      </c>
      <c r="J150">
        <f t="shared" ca="1" si="23"/>
        <v>60.433121554655187</v>
      </c>
      <c r="K150">
        <f t="shared" ca="1" si="24"/>
        <v>22.071227002569721</v>
      </c>
    </row>
    <row r="151" spans="1:11" x14ac:dyDescent="0.3">
      <c r="A151" t="s">
        <v>14</v>
      </c>
      <c r="B151">
        <v>10</v>
      </c>
      <c r="C151">
        <v>190293</v>
      </c>
      <c r="D151">
        <v>190374</v>
      </c>
      <c r="E151">
        <v>190385</v>
      </c>
      <c r="F151">
        <v>190351</v>
      </c>
      <c r="G151">
        <f t="shared" ca="1" si="20"/>
        <v>190293</v>
      </c>
      <c r="H151">
        <f t="shared" ca="1" si="21"/>
        <v>0</v>
      </c>
      <c r="I151">
        <f t="shared" ca="1" si="22"/>
        <v>42.565937790670176</v>
      </c>
      <c r="J151">
        <f t="shared" ca="1" si="23"/>
        <v>48.346497243724151</v>
      </c>
      <c r="K151">
        <f t="shared" ca="1" si="24"/>
        <v>30.479313479739137</v>
      </c>
    </row>
    <row r="152" spans="1:11" x14ac:dyDescent="0.3">
      <c r="A152" t="s">
        <v>15</v>
      </c>
      <c r="B152">
        <v>1</v>
      </c>
      <c r="C152">
        <v>250408</v>
      </c>
      <c r="D152">
        <v>250436</v>
      </c>
      <c r="E152">
        <v>250457</v>
      </c>
      <c r="F152">
        <v>250411</v>
      </c>
      <c r="G152">
        <f t="shared" ca="1" si="20"/>
        <v>250398</v>
      </c>
      <c r="H152">
        <f t="shared" ca="1" si="21"/>
        <v>3.993642121742186</v>
      </c>
      <c r="I152">
        <f t="shared" ca="1" si="22"/>
        <v>15.175840062620308</v>
      </c>
      <c r="J152">
        <f t="shared" ca="1" si="23"/>
        <v>23.562488518278897</v>
      </c>
      <c r="K152">
        <f t="shared" ca="1" si="24"/>
        <v>5.1917347582648423</v>
      </c>
    </row>
    <row r="153" spans="1:11" x14ac:dyDescent="0.3">
      <c r="A153" t="s">
        <v>15</v>
      </c>
      <c r="B153">
        <v>2</v>
      </c>
      <c r="C153">
        <v>250407</v>
      </c>
      <c r="D153">
        <v>250467</v>
      </c>
      <c r="E153">
        <v>250476</v>
      </c>
      <c r="F153">
        <v>250407</v>
      </c>
      <c r="G153">
        <f t="shared" ca="1" si="20"/>
        <v>250398</v>
      </c>
      <c r="H153">
        <f t="shared" ca="1" si="21"/>
        <v>3.5942779095679676</v>
      </c>
      <c r="I153">
        <f t="shared" ca="1" si="22"/>
        <v>27.556130640021088</v>
      </c>
      <c r="J153">
        <f t="shared" ca="1" si="23"/>
        <v>31.150408549589052</v>
      </c>
      <c r="K153">
        <f t="shared" ca="1" si="24"/>
        <v>3.5942779095679676</v>
      </c>
    </row>
    <row r="154" spans="1:11" x14ac:dyDescent="0.3">
      <c r="A154" t="s">
        <v>52</v>
      </c>
      <c r="B154">
        <v>3</v>
      </c>
      <c r="C154">
        <v>250425</v>
      </c>
      <c r="D154">
        <v>250442</v>
      </c>
      <c r="E154">
        <v>250462</v>
      </c>
      <c r="F154">
        <v>250407</v>
      </c>
      <c r="G154">
        <f t="shared" ca="1" si="20"/>
        <v>250398</v>
      </c>
      <c r="H154">
        <f t="shared" ca="1" si="21"/>
        <v>10.782833728703903</v>
      </c>
      <c r="I154">
        <f t="shared" ca="1" si="22"/>
        <v>17.572025335665622</v>
      </c>
      <c r="J154">
        <f t="shared" ca="1" si="23"/>
        <v>25.559309579149993</v>
      </c>
      <c r="K154">
        <f t="shared" ca="1" si="24"/>
        <v>3.5942779095679676</v>
      </c>
    </row>
    <row r="155" spans="1:11" x14ac:dyDescent="0.3">
      <c r="A155" t="s">
        <v>52</v>
      </c>
      <c r="B155">
        <v>4</v>
      </c>
      <c r="C155">
        <v>250424</v>
      </c>
      <c r="D155">
        <v>250437</v>
      </c>
      <c r="E155">
        <v>250460</v>
      </c>
      <c r="F155">
        <v>250413</v>
      </c>
      <c r="G155">
        <f t="shared" ca="1" si="20"/>
        <v>250398</v>
      </c>
      <c r="H155">
        <f t="shared" ca="1" si="21"/>
        <v>10.383469516529685</v>
      </c>
      <c r="I155">
        <f t="shared" ca="1" si="22"/>
        <v>15.575204274794526</v>
      </c>
      <c r="J155">
        <f t="shared" ca="1" si="23"/>
        <v>24.760581154801557</v>
      </c>
      <c r="K155">
        <f t="shared" ca="1" si="24"/>
        <v>5.9904631826132793</v>
      </c>
    </row>
    <row r="156" spans="1:11" x14ac:dyDescent="0.3">
      <c r="A156" t="s">
        <v>52</v>
      </c>
      <c r="B156">
        <v>5</v>
      </c>
      <c r="C156">
        <v>250416</v>
      </c>
      <c r="D156">
        <v>250430</v>
      </c>
      <c r="E156">
        <v>250457</v>
      </c>
      <c r="F156">
        <v>250413</v>
      </c>
      <c r="G156">
        <f t="shared" ca="1" si="20"/>
        <v>250398</v>
      </c>
      <c r="H156">
        <f t="shared" ca="1" si="21"/>
        <v>7.1885558191359351</v>
      </c>
      <c r="I156">
        <f t="shared" ca="1" si="22"/>
        <v>12.779654789574996</v>
      </c>
      <c r="J156">
        <f t="shared" ca="1" si="23"/>
        <v>23.562488518278897</v>
      </c>
      <c r="K156">
        <f t="shared" ca="1" si="24"/>
        <v>5.9904631826132793</v>
      </c>
    </row>
    <row r="157" spans="1:11" x14ac:dyDescent="0.3">
      <c r="A157" t="s">
        <v>52</v>
      </c>
      <c r="B157">
        <v>6</v>
      </c>
      <c r="C157">
        <v>250416</v>
      </c>
      <c r="D157">
        <v>250442</v>
      </c>
      <c r="E157">
        <v>250477</v>
      </c>
      <c r="F157">
        <v>250419</v>
      </c>
      <c r="G157">
        <f t="shared" ca="1" si="20"/>
        <v>250398</v>
      </c>
      <c r="H157">
        <f t="shared" ca="1" si="21"/>
        <v>7.1885558191359351</v>
      </c>
      <c r="I157">
        <f t="shared" ca="1" si="22"/>
        <v>17.572025335665622</v>
      </c>
      <c r="J157">
        <f t="shared" ca="1" si="23"/>
        <v>31.549772761763275</v>
      </c>
      <c r="K157">
        <f t="shared" ca="1" si="24"/>
        <v>8.386648455658591</v>
      </c>
    </row>
    <row r="158" spans="1:11" x14ac:dyDescent="0.3">
      <c r="A158" t="s">
        <v>52</v>
      </c>
      <c r="B158">
        <v>7</v>
      </c>
      <c r="C158">
        <v>250416</v>
      </c>
      <c r="D158">
        <v>250439</v>
      </c>
      <c r="E158">
        <v>250466</v>
      </c>
      <c r="F158">
        <v>250407</v>
      </c>
      <c r="G158">
        <f t="shared" ca="1" si="20"/>
        <v>250398</v>
      </c>
      <c r="H158">
        <f t="shared" ca="1" si="21"/>
        <v>7.1885558191359351</v>
      </c>
      <c r="I158">
        <f t="shared" ca="1" si="22"/>
        <v>16.373932699142962</v>
      </c>
      <c r="J158">
        <f t="shared" ca="1" si="23"/>
        <v>27.156766427846868</v>
      </c>
      <c r="K158">
        <f t="shared" ca="1" si="24"/>
        <v>3.5942779095679676</v>
      </c>
    </row>
    <row r="159" spans="1:11" x14ac:dyDescent="0.3">
      <c r="A159" t="s">
        <v>52</v>
      </c>
      <c r="B159">
        <v>8</v>
      </c>
      <c r="C159">
        <v>250416</v>
      </c>
      <c r="D159">
        <v>250430</v>
      </c>
      <c r="E159">
        <v>250473</v>
      </c>
      <c r="F159">
        <v>250405</v>
      </c>
      <c r="G159">
        <f t="shared" ca="1" si="20"/>
        <v>250398</v>
      </c>
      <c r="H159">
        <f t="shared" ca="1" si="21"/>
        <v>7.1885558191359351</v>
      </c>
      <c r="I159">
        <f t="shared" ca="1" si="22"/>
        <v>12.779654789574996</v>
      </c>
      <c r="J159">
        <f t="shared" ca="1" si="23"/>
        <v>29.9523159130664</v>
      </c>
      <c r="K159">
        <f t="shared" ca="1" si="24"/>
        <v>2.7955494852195302</v>
      </c>
    </row>
    <row r="160" spans="1:11" x14ac:dyDescent="0.3">
      <c r="A160" t="s">
        <v>52</v>
      </c>
      <c r="B160">
        <v>9</v>
      </c>
      <c r="C160">
        <v>250418</v>
      </c>
      <c r="D160">
        <v>250436</v>
      </c>
      <c r="E160">
        <v>250457</v>
      </c>
      <c r="F160">
        <v>250398</v>
      </c>
      <c r="G160">
        <f t="shared" ca="1" si="20"/>
        <v>250398</v>
      </c>
      <c r="H160">
        <f t="shared" ca="1" si="21"/>
        <v>7.987284243484372</v>
      </c>
      <c r="I160">
        <f t="shared" ca="1" si="22"/>
        <v>15.175840062620308</v>
      </c>
      <c r="J160">
        <f t="shared" ca="1" si="23"/>
        <v>23.562488518278897</v>
      </c>
      <c r="K160">
        <f t="shared" ca="1" si="24"/>
        <v>0</v>
      </c>
    </row>
    <row r="161" spans="1:11" x14ac:dyDescent="0.3">
      <c r="A161" t="s">
        <v>52</v>
      </c>
      <c r="B161">
        <v>10</v>
      </c>
      <c r="C161">
        <v>250418</v>
      </c>
      <c r="D161">
        <v>250441</v>
      </c>
      <c r="E161">
        <v>250479</v>
      </c>
      <c r="F161">
        <v>250407</v>
      </c>
      <c r="G161">
        <f t="shared" ca="1" si="20"/>
        <v>250398</v>
      </c>
      <c r="H161">
        <f t="shared" ca="1" si="21"/>
        <v>7.987284243484372</v>
      </c>
      <c r="I161">
        <f t="shared" ca="1" si="22"/>
        <v>17.172661123491398</v>
      </c>
      <c r="J161">
        <f t="shared" ca="1" si="23"/>
        <v>32.348501186111712</v>
      </c>
      <c r="K161">
        <f t="shared" ca="1" si="24"/>
        <v>3.5942779095679676</v>
      </c>
    </row>
    <row r="162" spans="1:11" x14ac:dyDescent="0.3">
      <c r="A162" t="s">
        <v>64</v>
      </c>
      <c r="B162">
        <v>1</v>
      </c>
      <c r="C162">
        <v>240231</v>
      </c>
      <c r="D162">
        <v>240265</v>
      </c>
      <c r="E162">
        <v>240275</v>
      </c>
      <c r="F162">
        <v>240289</v>
      </c>
      <c r="G162">
        <f t="shared" ca="1" si="20"/>
        <v>240221</v>
      </c>
      <c r="H162">
        <f t="shared" ca="1" si="21"/>
        <v>4.1628333909191948</v>
      </c>
      <c r="I162">
        <f t="shared" ca="1" si="22"/>
        <v>18.316466920044459</v>
      </c>
      <c r="J162">
        <f t="shared" ca="1" si="23"/>
        <v>22.479300310963655</v>
      </c>
      <c r="K162">
        <f t="shared" ca="1" si="24"/>
        <v>28.307267058250527</v>
      </c>
    </row>
    <row r="163" spans="1:11" x14ac:dyDescent="0.3">
      <c r="A163" t="s">
        <v>64</v>
      </c>
      <c r="B163">
        <v>2</v>
      </c>
      <c r="C163">
        <v>240230</v>
      </c>
      <c r="D163">
        <v>240265</v>
      </c>
      <c r="E163">
        <v>240284</v>
      </c>
      <c r="F163">
        <v>240283</v>
      </c>
      <c r="G163">
        <f t="shared" ca="1" si="20"/>
        <v>240221</v>
      </c>
      <c r="H163">
        <f t="shared" ca="1" si="21"/>
        <v>3.7465500518272759</v>
      </c>
      <c r="I163">
        <f t="shared" ca="1" si="22"/>
        <v>18.316466920044459</v>
      </c>
      <c r="J163">
        <f t="shared" ca="1" si="23"/>
        <v>26.225850362790933</v>
      </c>
      <c r="K163">
        <f t="shared" ca="1" si="24"/>
        <v>25.80956702369901</v>
      </c>
    </row>
    <row r="164" spans="1:11" x14ac:dyDescent="0.3">
      <c r="A164" t="s">
        <v>26</v>
      </c>
      <c r="B164">
        <v>3</v>
      </c>
      <c r="C164">
        <v>240240</v>
      </c>
      <c r="D164">
        <v>240267</v>
      </c>
      <c r="E164">
        <v>240280</v>
      </c>
      <c r="F164">
        <v>240278</v>
      </c>
      <c r="G164">
        <f t="shared" ca="1" si="20"/>
        <v>240221</v>
      </c>
      <c r="H164">
        <f t="shared" ca="1" si="21"/>
        <v>7.9093834427464724</v>
      </c>
      <c r="I164">
        <f t="shared" ca="1" si="22"/>
        <v>19.1490335982283</v>
      </c>
      <c r="J164">
        <f t="shared" ca="1" si="23"/>
        <v>24.56071700642325</v>
      </c>
      <c r="K164">
        <f t="shared" ca="1" si="24"/>
        <v>23.728150328239416</v>
      </c>
    </row>
    <row r="165" spans="1:11" x14ac:dyDescent="0.3">
      <c r="A165" t="s">
        <v>26</v>
      </c>
      <c r="B165">
        <v>4</v>
      </c>
      <c r="C165">
        <v>240240</v>
      </c>
      <c r="D165">
        <v>240266</v>
      </c>
      <c r="E165">
        <v>240299</v>
      </c>
      <c r="F165">
        <v>240252</v>
      </c>
      <c r="G165">
        <f t="shared" ca="1" si="20"/>
        <v>240221</v>
      </c>
      <c r="H165">
        <f t="shared" ca="1" si="21"/>
        <v>7.9093834427464724</v>
      </c>
      <c r="I165">
        <f t="shared" ca="1" si="22"/>
        <v>18.732750259136377</v>
      </c>
      <c r="J165">
        <f t="shared" ca="1" si="23"/>
        <v>32.47010044916972</v>
      </c>
      <c r="K165">
        <f t="shared" ca="1" si="24"/>
        <v>12.904783511849505</v>
      </c>
    </row>
    <row r="166" spans="1:11" x14ac:dyDescent="0.3">
      <c r="A166" t="s">
        <v>26</v>
      </c>
      <c r="B166">
        <v>5</v>
      </c>
      <c r="C166">
        <v>240272</v>
      </c>
      <c r="D166">
        <v>240265</v>
      </c>
      <c r="E166">
        <v>240295</v>
      </c>
      <c r="F166">
        <v>240272</v>
      </c>
      <c r="G166">
        <f t="shared" ca="1" si="20"/>
        <v>240221</v>
      </c>
      <c r="H166">
        <f t="shared" ca="1" si="21"/>
        <v>21.230450293687895</v>
      </c>
      <c r="I166">
        <f t="shared" ca="1" si="22"/>
        <v>18.316466920044459</v>
      </c>
      <c r="J166">
        <f t="shared" ca="1" si="23"/>
        <v>30.804967092802045</v>
      </c>
      <c r="K166">
        <f t="shared" ca="1" si="24"/>
        <v>21.230450293687895</v>
      </c>
    </row>
    <row r="167" spans="1:11" x14ac:dyDescent="0.3">
      <c r="A167" t="s">
        <v>26</v>
      </c>
      <c r="B167">
        <v>6</v>
      </c>
      <c r="C167">
        <v>240228</v>
      </c>
      <c r="D167">
        <v>240268</v>
      </c>
      <c r="E167">
        <v>240296</v>
      </c>
      <c r="F167">
        <v>240271</v>
      </c>
      <c r="G167">
        <f t="shared" ca="1" si="20"/>
        <v>240221</v>
      </c>
      <c r="H167">
        <f t="shared" ca="1" si="21"/>
        <v>2.9139833736434366</v>
      </c>
      <c r="I167">
        <f t="shared" ca="1" si="22"/>
        <v>19.565316937320219</v>
      </c>
      <c r="J167">
        <f t="shared" ca="1" si="23"/>
        <v>31.221250431893967</v>
      </c>
      <c r="K167">
        <f t="shared" ca="1" si="24"/>
        <v>20.814166954595976</v>
      </c>
    </row>
    <row r="168" spans="1:11" x14ac:dyDescent="0.3">
      <c r="A168" t="s">
        <v>26</v>
      </c>
      <c r="B168">
        <v>7</v>
      </c>
      <c r="C168">
        <v>240237</v>
      </c>
      <c r="D168">
        <v>240275</v>
      </c>
      <c r="E168">
        <v>240289</v>
      </c>
      <c r="F168">
        <v>240288</v>
      </c>
      <c r="G168">
        <f t="shared" ca="1" si="20"/>
        <v>240221</v>
      </c>
      <c r="H168">
        <f t="shared" ca="1" si="21"/>
        <v>6.6605334254707129</v>
      </c>
      <c r="I168">
        <f t="shared" ca="1" si="22"/>
        <v>22.479300310963655</v>
      </c>
      <c r="J168">
        <f t="shared" ca="1" si="23"/>
        <v>28.307267058250527</v>
      </c>
      <c r="K168">
        <f t="shared" ca="1" si="24"/>
        <v>27.890983719158605</v>
      </c>
    </row>
    <row r="169" spans="1:11" x14ac:dyDescent="0.3">
      <c r="A169" t="s">
        <v>26</v>
      </c>
      <c r="B169">
        <v>8</v>
      </c>
      <c r="C169">
        <v>240229</v>
      </c>
      <c r="D169">
        <v>240268</v>
      </c>
      <c r="E169">
        <v>240291</v>
      </c>
      <c r="F169">
        <v>240288</v>
      </c>
      <c r="G169">
        <f t="shared" ca="1" si="20"/>
        <v>240221</v>
      </c>
      <c r="H169">
        <f t="shared" ca="1" si="21"/>
        <v>3.3302667127353565</v>
      </c>
      <c r="I169">
        <f t="shared" ca="1" si="22"/>
        <v>19.565316937320219</v>
      </c>
      <c r="J169">
        <f t="shared" ca="1" si="23"/>
        <v>29.139833736434365</v>
      </c>
      <c r="K169">
        <f t="shared" ca="1" si="24"/>
        <v>27.890983719158605</v>
      </c>
    </row>
    <row r="170" spans="1:11" x14ac:dyDescent="0.3">
      <c r="A170" t="s">
        <v>26</v>
      </c>
      <c r="B170">
        <v>9</v>
      </c>
      <c r="C170">
        <v>240221</v>
      </c>
      <c r="D170">
        <v>240268</v>
      </c>
      <c r="E170">
        <v>240274</v>
      </c>
      <c r="F170">
        <v>240288</v>
      </c>
      <c r="G170">
        <f t="shared" ca="1" si="20"/>
        <v>240221</v>
      </c>
      <c r="H170">
        <f t="shared" ca="1" si="21"/>
        <v>0</v>
      </c>
      <c r="I170">
        <f t="shared" ca="1" si="22"/>
        <v>19.565316937320219</v>
      </c>
      <c r="J170">
        <f t="shared" ca="1" si="23"/>
        <v>22.063016971871736</v>
      </c>
      <c r="K170">
        <f t="shared" ca="1" si="24"/>
        <v>27.890983719158605</v>
      </c>
    </row>
    <row r="171" spans="1:11" x14ac:dyDescent="0.3">
      <c r="A171" t="s">
        <v>26</v>
      </c>
      <c r="B171">
        <v>10</v>
      </c>
      <c r="C171">
        <v>240225</v>
      </c>
      <c r="D171">
        <v>240265</v>
      </c>
      <c r="E171">
        <v>240294</v>
      </c>
      <c r="F171">
        <v>240288</v>
      </c>
      <c r="G171">
        <f t="shared" ca="1" si="20"/>
        <v>240221</v>
      </c>
      <c r="H171">
        <f t="shared" ca="1" si="21"/>
        <v>1.6651333563676782</v>
      </c>
      <c r="I171">
        <f t="shared" ca="1" si="22"/>
        <v>18.316466920044459</v>
      </c>
      <c r="J171">
        <f t="shared" ca="1" si="23"/>
        <v>30.388683753710126</v>
      </c>
      <c r="K171">
        <f t="shared" ca="1" si="24"/>
        <v>27.890983719158605</v>
      </c>
    </row>
    <row r="172" spans="1:11" x14ac:dyDescent="0.3">
      <c r="A172" t="s">
        <v>65</v>
      </c>
      <c r="B172">
        <v>1</v>
      </c>
      <c r="C172">
        <v>230322</v>
      </c>
      <c r="D172">
        <v>230384</v>
      </c>
      <c r="E172">
        <v>230417</v>
      </c>
      <c r="F172">
        <v>230393</v>
      </c>
      <c r="G172">
        <f t="shared" ca="1" si="20"/>
        <v>230308</v>
      </c>
      <c r="H172">
        <f t="shared" ca="1" si="21"/>
        <v>6.0788161939663414</v>
      </c>
      <c r="I172">
        <f t="shared" ca="1" si="22"/>
        <v>32.999287910102986</v>
      </c>
      <c r="J172">
        <f t="shared" ca="1" si="23"/>
        <v>47.327926081595081</v>
      </c>
      <c r="K172">
        <f t="shared" ca="1" si="24"/>
        <v>36.907098320509924</v>
      </c>
    </row>
    <row r="173" spans="1:11" x14ac:dyDescent="0.3">
      <c r="A173" t="s">
        <v>65</v>
      </c>
      <c r="B173">
        <v>2</v>
      </c>
      <c r="C173">
        <v>230320</v>
      </c>
      <c r="D173">
        <v>230385</v>
      </c>
      <c r="E173">
        <v>230432</v>
      </c>
      <c r="F173">
        <v>230393</v>
      </c>
      <c r="G173">
        <f t="shared" ca="1" si="20"/>
        <v>230308</v>
      </c>
      <c r="H173">
        <f t="shared" ca="1" si="21"/>
        <v>5.2104138805425775</v>
      </c>
      <c r="I173">
        <f t="shared" ca="1" si="22"/>
        <v>33.433489066814879</v>
      </c>
      <c r="J173">
        <f t="shared" ca="1" si="23"/>
        <v>53.840943432273306</v>
      </c>
      <c r="K173">
        <f t="shared" ca="1" si="24"/>
        <v>36.907098320509924</v>
      </c>
    </row>
    <row r="174" spans="1:11" x14ac:dyDescent="0.3">
      <c r="A174" t="s">
        <v>27</v>
      </c>
      <c r="B174">
        <v>3</v>
      </c>
      <c r="C174">
        <v>230308</v>
      </c>
      <c r="D174">
        <v>230402</v>
      </c>
      <c r="E174">
        <v>230409</v>
      </c>
      <c r="F174">
        <v>230408</v>
      </c>
      <c r="G174">
        <f t="shared" ca="1" si="20"/>
        <v>230308</v>
      </c>
      <c r="H174">
        <f t="shared" ca="1" si="21"/>
        <v>0</v>
      </c>
      <c r="I174">
        <f t="shared" ca="1" si="22"/>
        <v>40.814908730916862</v>
      </c>
      <c r="J174">
        <f t="shared" ca="1" si="23"/>
        <v>43.854316827900028</v>
      </c>
      <c r="K174">
        <f t="shared" ca="1" si="24"/>
        <v>43.42011567118815</v>
      </c>
    </row>
    <row r="175" spans="1:11" x14ac:dyDescent="0.3">
      <c r="A175" t="s">
        <v>27</v>
      </c>
      <c r="B175">
        <v>4</v>
      </c>
      <c r="C175">
        <v>230322</v>
      </c>
      <c r="D175">
        <v>230384</v>
      </c>
      <c r="E175">
        <v>230410</v>
      </c>
      <c r="F175">
        <v>230389</v>
      </c>
      <c r="G175">
        <f t="shared" ca="1" si="20"/>
        <v>230308</v>
      </c>
      <c r="H175">
        <f t="shared" ca="1" si="21"/>
        <v>6.0788161939663414</v>
      </c>
      <c r="I175">
        <f t="shared" ca="1" si="22"/>
        <v>32.999287910102986</v>
      </c>
      <c r="J175">
        <f t="shared" ca="1" si="23"/>
        <v>44.288517984611914</v>
      </c>
      <c r="K175">
        <f t="shared" ca="1" si="24"/>
        <v>35.170293693662401</v>
      </c>
    </row>
    <row r="176" spans="1:11" x14ac:dyDescent="0.3">
      <c r="A176" t="s">
        <v>27</v>
      </c>
      <c r="B176">
        <v>5</v>
      </c>
      <c r="C176">
        <v>230322</v>
      </c>
      <c r="D176">
        <v>230400</v>
      </c>
      <c r="E176">
        <v>230424</v>
      </c>
      <c r="F176">
        <v>230408</v>
      </c>
      <c r="G176">
        <f t="shared" ca="1" si="20"/>
        <v>230308</v>
      </c>
      <c r="H176">
        <f t="shared" ca="1" si="21"/>
        <v>6.0788161939663414</v>
      </c>
      <c r="I176">
        <f t="shared" ca="1" si="22"/>
        <v>39.946506417493097</v>
      </c>
      <c r="J176">
        <f t="shared" ca="1" si="23"/>
        <v>50.367334178578254</v>
      </c>
      <c r="K176">
        <f t="shared" ca="1" si="24"/>
        <v>43.42011567118815</v>
      </c>
    </row>
    <row r="177" spans="1:11" x14ac:dyDescent="0.3">
      <c r="A177" t="s">
        <v>27</v>
      </c>
      <c r="B177">
        <v>6</v>
      </c>
      <c r="C177">
        <v>230327</v>
      </c>
      <c r="D177">
        <v>230366</v>
      </c>
      <c r="E177">
        <v>230416</v>
      </c>
      <c r="F177">
        <v>230395</v>
      </c>
      <c r="G177">
        <f t="shared" ca="1" si="20"/>
        <v>230308</v>
      </c>
      <c r="H177">
        <f t="shared" ca="1" si="21"/>
        <v>8.2498219775257464</v>
      </c>
      <c r="I177">
        <f t="shared" ca="1" si="22"/>
        <v>25.183667089289127</v>
      </c>
      <c r="J177">
        <f t="shared" ca="1" si="23"/>
        <v>46.893724924883202</v>
      </c>
      <c r="K177">
        <f t="shared" ca="1" si="24"/>
        <v>37.775500633933689</v>
      </c>
    </row>
    <row r="178" spans="1:11" x14ac:dyDescent="0.3">
      <c r="A178" t="s">
        <v>27</v>
      </c>
      <c r="B178">
        <v>7</v>
      </c>
      <c r="C178">
        <v>230322</v>
      </c>
      <c r="D178">
        <v>230386</v>
      </c>
      <c r="E178">
        <v>230418</v>
      </c>
      <c r="F178">
        <v>230393</v>
      </c>
      <c r="G178">
        <f t="shared" ca="1" si="20"/>
        <v>230308</v>
      </c>
      <c r="H178">
        <f t="shared" ca="1" si="21"/>
        <v>6.0788161939663414</v>
      </c>
      <c r="I178">
        <f t="shared" ca="1" si="22"/>
        <v>33.867690223526758</v>
      </c>
      <c r="J178">
        <f t="shared" ca="1" si="23"/>
        <v>47.762127238306959</v>
      </c>
      <c r="K178">
        <f t="shared" ca="1" si="24"/>
        <v>36.907098320509924</v>
      </c>
    </row>
    <row r="179" spans="1:11" x14ac:dyDescent="0.3">
      <c r="A179" t="s">
        <v>27</v>
      </c>
      <c r="B179">
        <v>8</v>
      </c>
      <c r="C179">
        <v>230309</v>
      </c>
      <c r="D179">
        <v>230366</v>
      </c>
      <c r="E179">
        <v>230416</v>
      </c>
      <c r="F179">
        <v>230381</v>
      </c>
      <c r="G179">
        <f t="shared" ca="1" si="20"/>
        <v>230308</v>
      </c>
      <c r="H179">
        <f t="shared" ca="1" si="21"/>
        <v>0.43420115671188142</v>
      </c>
      <c r="I179">
        <f t="shared" ca="1" si="22"/>
        <v>25.183667089289127</v>
      </c>
      <c r="J179">
        <f t="shared" ca="1" si="23"/>
        <v>46.893724924883202</v>
      </c>
      <c r="K179">
        <f t="shared" ca="1" si="24"/>
        <v>31.696684439967342</v>
      </c>
    </row>
    <row r="180" spans="1:11" x14ac:dyDescent="0.3">
      <c r="A180" t="s">
        <v>27</v>
      </c>
      <c r="B180">
        <v>9</v>
      </c>
      <c r="C180">
        <v>230322</v>
      </c>
      <c r="D180">
        <v>230366</v>
      </c>
      <c r="E180">
        <v>230409</v>
      </c>
      <c r="F180">
        <v>230395</v>
      </c>
      <c r="G180">
        <f t="shared" ca="1" si="20"/>
        <v>230308</v>
      </c>
      <c r="H180">
        <f t="shared" ca="1" si="21"/>
        <v>6.0788161939663414</v>
      </c>
      <c r="I180">
        <f t="shared" ca="1" si="22"/>
        <v>25.183667089289127</v>
      </c>
      <c r="J180">
        <f t="shared" ca="1" si="23"/>
        <v>43.854316827900028</v>
      </c>
      <c r="K180">
        <f t="shared" ca="1" si="24"/>
        <v>37.775500633933689</v>
      </c>
    </row>
    <row r="181" spans="1:11" x14ac:dyDescent="0.3">
      <c r="A181" t="s">
        <v>27</v>
      </c>
      <c r="B181">
        <v>10</v>
      </c>
      <c r="C181">
        <v>230308</v>
      </c>
      <c r="D181">
        <v>230384</v>
      </c>
      <c r="E181">
        <v>230417</v>
      </c>
      <c r="F181">
        <v>230407</v>
      </c>
      <c r="G181">
        <f t="shared" ca="1" si="20"/>
        <v>230308</v>
      </c>
      <c r="H181">
        <f t="shared" ca="1" si="21"/>
        <v>0</v>
      </c>
      <c r="I181">
        <f t="shared" ca="1" si="22"/>
        <v>32.999287910102986</v>
      </c>
      <c r="J181">
        <f t="shared" ca="1" si="23"/>
        <v>47.327926081595081</v>
      </c>
      <c r="K181">
        <f t="shared" ca="1" si="24"/>
        <v>42.985914514476271</v>
      </c>
    </row>
    <row r="182" spans="1:11" x14ac:dyDescent="0.3">
      <c r="A182" t="s">
        <v>66</v>
      </c>
      <c r="B182">
        <v>1</v>
      </c>
      <c r="C182">
        <v>280421</v>
      </c>
      <c r="D182">
        <v>280445</v>
      </c>
      <c r="E182">
        <v>280464</v>
      </c>
      <c r="F182">
        <v>280440</v>
      </c>
      <c r="G182">
        <f t="shared" ca="1" si="20"/>
        <v>280399</v>
      </c>
      <c r="H182">
        <f t="shared" ca="1" si="21"/>
        <v>7.8459623607787465</v>
      </c>
      <c r="I182">
        <f t="shared" ca="1" si="22"/>
        <v>16.405194027082839</v>
      </c>
      <c r="J182">
        <f t="shared" ca="1" si="23"/>
        <v>23.181252429573576</v>
      </c>
      <c r="K182">
        <f t="shared" ca="1" si="24"/>
        <v>14.622020763269484</v>
      </c>
    </row>
    <row r="183" spans="1:11" x14ac:dyDescent="0.3">
      <c r="A183" t="s">
        <v>66</v>
      </c>
      <c r="B183">
        <v>2</v>
      </c>
      <c r="C183">
        <v>280461</v>
      </c>
      <c r="D183">
        <v>280443</v>
      </c>
      <c r="E183">
        <v>280449</v>
      </c>
      <c r="F183">
        <v>280436</v>
      </c>
      <c r="G183">
        <f t="shared" ca="1" si="20"/>
        <v>280399</v>
      </c>
      <c r="H183">
        <f t="shared" ca="1" si="21"/>
        <v>22.111348471285559</v>
      </c>
      <c r="I183">
        <f t="shared" ca="1" si="22"/>
        <v>15.691924721557493</v>
      </c>
      <c r="J183">
        <f t="shared" ca="1" si="23"/>
        <v>17.831732638133516</v>
      </c>
      <c r="K183">
        <f t="shared" ca="1" si="24"/>
        <v>13.195482152218801</v>
      </c>
    </row>
    <row r="184" spans="1:11" x14ac:dyDescent="0.3">
      <c r="A184" t="s">
        <v>28</v>
      </c>
      <c r="B184">
        <v>3</v>
      </c>
      <c r="C184">
        <v>280441</v>
      </c>
      <c r="D184">
        <v>280448</v>
      </c>
      <c r="E184">
        <v>280466</v>
      </c>
      <c r="F184">
        <v>280438</v>
      </c>
      <c r="G184">
        <f t="shared" ca="1" si="20"/>
        <v>280399</v>
      </c>
      <c r="H184">
        <f t="shared" ca="1" si="21"/>
        <v>14.978655416032154</v>
      </c>
      <c r="I184">
        <f t="shared" ca="1" si="22"/>
        <v>17.475097985370844</v>
      </c>
      <c r="J184">
        <f t="shared" ca="1" si="23"/>
        <v>23.894521735098913</v>
      </c>
      <c r="K184">
        <f t="shared" ca="1" si="24"/>
        <v>13.908751457744144</v>
      </c>
    </row>
    <row r="185" spans="1:11" x14ac:dyDescent="0.3">
      <c r="A185" t="s">
        <v>28</v>
      </c>
      <c r="B185">
        <v>4</v>
      </c>
      <c r="C185">
        <v>280402</v>
      </c>
      <c r="D185">
        <v>280445</v>
      </c>
      <c r="E185">
        <v>280465</v>
      </c>
      <c r="F185">
        <v>280428</v>
      </c>
      <c r="G185">
        <f t="shared" ca="1" si="20"/>
        <v>280399</v>
      </c>
      <c r="H185">
        <f t="shared" ca="1" si="21"/>
        <v>1.069903958288011</v>
      </c>
      <c r="I185">
        <f t="shared" ca="1" si="22"/>
        <v>16.405194027082839</v>
      </c>
      <c r="J185">
        <f t="shared" ca="1" si="23"/>
        <v>23.537887082336244</v>
      </c>
      <c r="K185">
        <f t="shared" ca="1" si="24"/>
        <v>10.342404930117439</v>
      </c>
    </row>
    <row r="186" spans="1:11" x14ac:dyDescent="0.3">
      <c r="A186" t="s">
        <v>28</v>
      </c>
      <c r="B186">
        <v>5</v>
      </c>
      <c r="C186">
        <v>280425</v>
      </c>
      <c r="D186">
        <v>280443</v>
      </c>
      <c r="E186">
        <v>280468</v>
      </c>
      <c r="F186">
        <v>280431</v>
      </c>
      <c r="G186">
        <f t="shared" ca="1" si="20"/>
        <v>280399</v>
      </c>
      <c r="H186">
        <f t="shared" ca="1" si="21"/>
        <v>9.2725009718294285</v>
      </c>
      <c r="I186">
        <f t="shared" ca="1" si="22"/>
        <v>15.691924721557493</v>
      </c>
      <c r="J186">
        <f t="shared" ca="1" si="23"/>
        <v>24.607791040624249</v>
      </c>
      <c r="K186">
        <f t="shared" ca="1" si="24"/>
        <v>11.412308888405452</v>
      </c>
    </row>
    <row r="187" spans="1:11" x14ac:dyDescent="0.3">
      <c r="A187" t="s">
        <v>28</v>
      </c>
      <c r="B187">
        <v>6</v>
      </c>
      <c r="C187">
        <v>280402</v>
      </c>
      <c r="D187">
        <v>280445</v>
      </c>
      <c r="E187">
        <v>280453</v>
      </c>
      <c r="F187">
        <v>280449</v>
      </c>
      <c r="G187">
        <f t="shared" ca="1" si="20"/>
        <v>280399</v>
      </c>
      <c r="H187">
        <f t="shared" ca="1" si="21"/>
        <v>1.069903958288011</v>
      </c>
      <c r="I187">
        <f t="shared" ca="1" si="22"/>
        <v>16.405194027082839</v>
      </c>
      <c r="J187">
        <f t="shared" ca="1" si="23"/>
        <v>19.258271249184197</v>
      </c>
      <c r="K187">
        <f t="shared" ca="1" si="24"/>
        <v>17.831732638133516</v>
      </c>
    </row>
    <row r="188" spans="1:11" x14ac:dyDescent="0.3">
      <c r="A188" t="s">
        <v>28</v>
      </c>
      <c r="B188">
        <v>7</v>
      </c>
      <c r="C188">
        <v>280434</v>
      </c>
      <c r="D188">
        <v>280453</v>
      </c>
      <c r="E188">
        <v>280455</v>
      </c>
      <c r="F188">
        <v>280437</v>
      </c>
      <c r="G188">
        <f t="shared" ca="1" si="20"/>
        <v>280399</v>
      </c>
      <c r="H188">
        <f t="shared" ca="1" si="21"/>
        <v>12.482212846693461</v>
      </c>
      <c r="I188">
        <f t="shared" ca="1" si="22"/>
        <v>19.258271249184197</v>
      </c>
      <c r="J188">
        <f t="shared" ca="1" si="23"/>
        <v>19.971540554709538</v>
      </c>
      <c r="K188">
        <f t="shared" ca="1" si="24"/>
        <v>13.552116804981473</v>
      </c>
    </row>
    <row r="189" spans="1:11" x14ac:dyDescent="0.3">
      <c r="A189" t="s">
        <v>28</v>
      </c>
      <c r="B189">
        <v>8</v>
      </c>
      <c r="C189">
        <v>280455</v>
      </c>
      <c r="D189">
        <v>280442</v>
      </c>
      <c r="E189">
        <v>280482</v>
      </c>
      <c r="F189">
        <v>280435</v>
      </c>
      <c r="G189">
        <f t="shared" ca="1" si="20"/>
        <v>280399</v>
      </c>
      <c r="H189">
        <f t="shared" ca="1" si="21"/>
        <v>19.971540554709538</v>
      </c>
      <c r="I189">
        <f t="shared" ca="1" si="22"/>
        <v>15.335290068794823</v>
      </c>
      <c r="J189">
        <f t="shared" ca="1" si="23"/>
        <v>29.60067617930164</v>
      </c>
      <c r="K189">
        <f t="shared" ca="1" si="24"/>
        <v>12.838847499456131</v>
      </c>
    </row>
    <row r="190" spans="1:11" x14ac:dyDescent="0.3">
      <c r="A190" t="s">
        <v>28</v>
      </c>
      <c r="B190">
        <v>9</v>
      </c>
      <c r="C190">
        <v>280399</v>
      </c>
      <c r="D190">
        <v>280446</v>
      </c>
      <c r="E190">
        <v>280447</v>
      </c>
      <c r="F190">
        <v>280434</v>
      </c>
      <c r="G190">
        <f t="shared" ca="1" si="20"/>
        <v>280399</v>
      </c>
      <c r="H190">
        <f t="shared" ca="1" si="21"/>
        <v>0</v>
      </c>
      <c r="I190">
        <f t="shared" ca="1" si="22"/>
        <v>16.761828679845507</v>
      </c>
      <c r="J190">
        <f t="shared" ca="1" si="23"/>
        <v>17.118463332608176</v>
      </c>
      <c r="K190">
        <f t="shared" ca="1" si="24"/>
        <v>12.482212846693461</v>
      </c>
    </row>
    <row r="191" spans="1:11" x14ac:dyDescent="0.3">
      <c r="A191" t="s">
        <v>28</v>
      </c>
      <c r="B191">
        <v>10</v>
      </c>
      <c r="C191">
        <v>280417</v>
      </c>
      <c r="D191">
        <v>280418</v>
      </c>
      <c r="E191">
        <v>280441</v>
      </c>
      <c r="F191">
        <v>280436</v>
      </c>
      <c r="G191">
        <f t="shared" ca="1" si="20"/>
        <v>280399</v>
      </c>
      <c r="H191">
        <f t="shared" ca="1" si="21"/>
        <v>6.4194237497280655</v>
      </c>
      <c r="I191">
        <f t="shared" ca="1" si="22"/>
        <v>6.7760584024907367</v>
      </c>
      <c r="J191">
        <f t="shared" ca="1" si="23"/>
        <v>14.978655416032154</v>
      </c>
      <c r="K191">
        <f t="shared" ca="1" si="24"/>
        <v>13.195482152218801</v>
      </c>
    </row>
    <row r="192" spans="1:11" x14ac:dyDescent="0.3">
      <c r="A192" t="s">
        <v>67</v>
      </c>
      <c r="B192">
        <v>1</v>
      </c>
      <c r="C192">
        <v>190331</v>
      </c>
      <c r="D192">
        <v>190372</v>
      </c>
      <c r="E192">
        <v>190427</v>
      </c>
      <c r="F192">
        <v>190347</v>
      </c>
      <c r="G192">
        <f t="shared" ca="1" si="20"/>
        <v>190322</v>
      </c>
      <c r="H192">
        <f t="shared" ca="1" si="21"/>
        <v>4.7288279862548732</v>
      </c>
      <c r="I192">
        <f t="shared" ca="1" si="22"/>
        <v>26.271266590304855</v>
      </c>
      <c r="J192">
        <f t="shared" ca="1" si="23"/>
        <v>55.169659839640197</v>
      </c>
      <c r="K192">
        <f t="shared" ca="1" si="24"/>
        <v>13.135633295152427</v>
      </c>
    </row>
    <row r="193" spans="1:11" x14ac:dyDescent="0.3">
      <c r="A193" t="s">
        <v>67</v>
      </c>
      <c r="B193">
        <v>2</v>
      </c>
      <c r="C193">
        <v>190339</v>
      </c>
      <c r="D193">
        <v>190372</v>
      </c>
      <c r="E193">
        <v>190441</v>
      </c>
      <c r="F193">
        <v>190357</v>
      </c>
      <c r="G193">
        <f t="shared" ca="1" si="20"/>
        <v>190322</v>
      </c>
      <c r="H193">
        <f t="shared" ca="1" si="21"/>
        <v>8.9322306407036489</v>
      </c>
      <c r="I193">
        <f t="shared" ca="1" si="22"/>
        <v>26.271266590304855</v>
      </c>
      <c r="J193">
        <f t="shared" ca="1" si="23"/>
        <v>62.525614484925555</v>
      </c>
      <c r="K193">
        <f t="shared" ca="1" si="24"/>
        <v>18.389886613213399</v>
      </c>
    </row>
    <row r="194" spans="1:11" x14ac:dyDescent="0.3">
      <c r="A194" t="s">
        <v>29</v>
      </c>
      <c r="B194">
        <v>3</v>
      </c>
      <c r="C194">
        <v>190325</v>
      </c>
      <c r="D194">
        <v>190368</v>
      </c>
      <c r="E194">
        <v>190464</v>
      </c>
      <c r="F194">
        <v>190338</v>
      </c>
      <c r="G194">
        <f t="shared" ca="1" si="20"/>
        <v>190322</v>
      </c>
      <c r="H194">
        <f t="shared" ca="1" si="21"/>
        <v>1.5762759954182912</v>
      </c>
      <c r="I194">
        <f t="shared" ca="1" si="22"/>
        <v>24.169565263080464</v>
      </c>
      <c r="J194">
        <f t="shared" ca="1" si="23"/>
        <v>74.610397116465776</v>
      </c>
      <c r="K194">
        <f t="shared" ca="1" si="24"/>
        <v>8.4068053088975532</v>
      </c>
    </row>
    <row r="195" spans="1:11" x14ac:dyDescent="0.3">
      <c r="A195" t="s">
        <v>29</v>
      </c>
      <c r="B195">
        <v>4</v>
      </c>
      <c r="C195">
        <v>190333</v>
      </c>
      <c r="D195">
        <v>190362</v>
      </c>
      <c r="E195">
        <v>190449</v>
      </c>
      <c r="F195">
        <v>190338</v>
      </c>
      <c r="G195">
        <f t="shared" ref="G195:G258" ca="1" si="25">MIN(INDIRECT("C" &amp; (10*INT((ROW()-2)/10)+2) &amp; ":F" &amp; (10*INT((ROW()-2)/10)+11)))</f>
        <v>190322</v>
      </c>
      <c r="H195">
        <f t="shared" ref="H195:H258" ca="1" si="26">(C195-OFFSET($G$2, 10*INT((ROW()-2)/10), 0))/OFFSET($G$2, 10*INT((ROW()-2)/10), 0)*100*1000</f>
        <v>5.7796786498670674</v>
      </c>
      <c r="I195">
        <f t="shared" ref="I195:I258" ca="1" si="27">(D195-OFFSET($G$2, 10*INT((ROW()-2)/10), 0))/OFFSET($G$2, 10*INT((ROW()-2)/10), 0)*100*1000</f>
        <v>21.017013272243883</v>
      </c>
      <c r="J195">
        <f t="shared" ref="J195:J258" ca="1" si="28">(E195-OFFSET($G$2, 10*INT((ROW()-2)/10), 0))/OFFSET($G$2, 10*INT((ROW()-2)/10), 0)*100*1000</f>
        <v>66.729017139374321</v>
      </c>
      <c r="K195">
        <f t="shared" ref="K195:K258" ca="1" si="29">(F195-OFFSET($G$2, 10*INT((ROW()-2)/10), 0))/OFFSET($G$2, 10*INT((ROW()-2)/10), 0)*100*1000</f>
        <v>8.4068053088975532</v>
      </c>
    </row>
    <row r="196" spans="1:11" x14ac:dyDescent="0.3">
      <c r="A196" t="s">
        <v>29</v>
      </c>
      <c r="B196">
        <v>5</v>
      </c>
      <c r="C196">
        <v>190341</v>
      </c>
      <c r="D196">
        <v>190389</v>
      </c>
      <c r="E196">
        <v>190458</v>
      </c>
      <c r="F196">
        <v>190338</v>
      </c>
      <c r="G196">
        <f t="shared" ca="1" si="25"/>
        <v>190322</v>
      </c>
      <c r="H196">
        <f t="shared" ca="1" si="26"/>
        <v>9.9830813043158422</v>
      </c>
      <c r="I196">
        <f t="shared" ca="1" si="27"/>
        <v>35.203497231008505</v>
      </c>
      <c r="J196">
        <f t="shared" ca="1" si="28"/>
        <v>71.457845125629191</v>
      </c>
      <c r="K196">
        <f t="shared" ca="1" si="29"/>
        <v>8.4068053088975532</v>
      </c>
    </row>
    <row r="197" spans="1:11" x14ac:dyDescent="0.3">
      <c r="A197" t="s">
        <v>29</v>
      </c>
      <c r="B197">
        <v>6</v>
      </c>
      <c r="C197">
        <v>190331</v>
      </c>
      <c r="D197">
        <v>190367</v>
      </c>
      <c r="E197">
        <v>190441</v>
      </c>
      <c r="F197">
        <v>190337</v>
      </c>
      <c r="G197">
        <f t="shared" ca="1" si="25"/>
        <v>190322</v>
      </c>
      <c r="H197">
        <f t="shared" ca="1" si="26"/>
        <v>4.7288279862548732</v>
      </c>
      <c r="I197">
        <f t="shared" ca="1" si="27"/>
        <v>23.644139931274367</v>
      </c>
      <c r="J197">
        <f t="shared" ca="1" si="28"/>
        <v>62.525614484925555</v>
      </c>
      <c r="K197">
        <f t="shared" ca="1" si="29"/>
        <v>7.8813799770914557</v>
      </c>
    </row>
    <row r="198" spans="1:11" x14ac:dyDescent="0.3">
      <c r="A198" t="s">
        <v>29</v>
      </c>
      <c r="B198">
        <v>7</v>
      </c>
      <c r="C198">
        <v>190325</v>
      </c>
      <c r="D198">
        <v>190361</v>
      </c>
      <c r="E198">
        <v>190458</v>
      </c>
      <c r="F198">
        <v>190338</v>
      </c>
      <c r="G198">
        <f t="shared" ca="1" si="25"/>
        <v>190322</v>
      </c>
      <c r="H198">
        <f t="shared" ca="1" si="26"/>
        <v>1.5762759954182912</v>
      </c>
      <c r="I198">
        <f t="shared" ca="1" si="27"/>
        <v>20.491587940437782</v>
      </c>
      <c r="J198">
        <f t="shared" ca="1" si="28"/>
        <v>71.457845125629191</v>
      </c>
      <c r="K198">
        <f t="shared" ca="1" si="29"/>
        <v>8.4068053088975532</v>
      </c>
    </row>
    <row r="199" spans="1:11" x14ac:dyDescent="0.3">
      <c r="A199" t="s">
        <v>29</v>
      </c>
      <c r="B199">
        <v>8</v>
      </c>
      <c r="C199">
        <v>190331</v>
      </c>
      <c r="D199">
        <v>190370</v>
      </c>
      <c r="E199">
        <v>190433</v>
      </c>
      <c r="F199">
        <v>190340</v>
      </c>
      <c r="G199">
        <f t="shared" ca="1" si="25"/>
        <v>190322</v>
      </c>
      <c r="H199">
        <f t="shared" ca="1" si="26"/>
        <v>4.7288279862548732</v>
      </c>
      <c r="I199">
        <f t="shared" ca="1" si="27"/>
        <v>25.22041592669266</v>
      </c>
      <c r="J199">
        <f t="shared" ca="1" si="28"/>
        <v>58.322211830476768</v>
      </c>
      <c r="K199">
        <f t="shared" ca="1" si="29"/>
        <v>9.4576559725097464</v>
      </c>
    </row>
    <row r="200" spans="1:11" x14ac:dyDescent="0.3">
      <c r="A200" t="s">
        <v>29</v>
      </c>
      <c r="B200">
        <v>9</v>
      </c>
      <c r="C200">
        <v>190345</v>
      </c>
      <c r="D200">
        <v>190372</v>
      </c>
      <c r="E200">
        <v>190458</v>
      </c>
      <c r="F200">
        <v>190354</v>
      </c>
      <c r="G200">
        <f t="shared" ca="1" si="25"/>
        <v>190322</v>
      </c>
      <c r="H200">
        <f t="shared" ca="1" si="26"/>
        <v>12.084782631540232</v>
      </c>
      <c r="I200">
        <f t="shared" ca="1" si="27"/>
        <v>26.271266590304855</v>
      </c>
      <c r="J200">
        <f t="shared" ca="1" si="28"/>
        <v>71.457845125629191</v>
      </c>
      <c r="K200">
        <f t="shared" ca="1" si="29"/>
        <v>16.813610617795106</v>
      </c>
    </row>
    <row r="201" spans="1:11" x14ac:dyDescent="0.3">
      <c r="A201" t="s">
        <v>29</v>
      </c>
      <c r="B201">
        <v>10</v>
      </c>
      <c r="C201">
        <v>190322</v>
      </c>
      <c r="D201">
        <v>190368</v>
      </c>
      <c r="E201">
        <v>190449</v>
      </c>
      <c r="F201">
        <v>190339</v>
      </c>
      <c r="G201">
        <f t="shared" ca="1" si="25"/>
        <v>190322</v>
      </c>
      <c r="H201">
        <f t="shared" ca="1" si="26"/>
        <v>0</v>
      </c>
      <c r="I201">
        <f t="shared" ca="1" si="27"/>
        <v>24.169565263080464</v>
      </c>
      <c r="J201">
        <f t="shared" ca="1" si="28"/>
        <v>66.729017139374321</v>
      </c>
      <c r="K201">
        <f t="shared" ca="1" si="29"/>
        <v>8.9322306407036489</v>
      </c>
    </row>
    <row r="202" spans="1:11" x14ac:dyDescent="0.3">
      <c r="A202" t="s">
        <v>16</v>
      </c>
      <c r="B202">
        <v>1</v>
      </c>
      <c r="C202">
        <v>411289</v>
      </c>
      <c r="D202">
        <v>411592</v>
      </c>
      <c r="E202">
        <v>411592</v>
      </c>
      <c r="F202">
        <v>411491</v>
      </c>
      <c r="G202">
        <f t="shared" ca="1" si="25"/>
        <v>411155</v>
      </c>
      <c r="H202">
        <f t="shared" ca="1" si="26"/>
        <v>32.591115272828986</v>
      </c>
      <c r="I202">
        <f t="shared" ca="1" si="27"/>
        <v>106.28595055392734</v>
      </c>
      <c r="J202">
        <f t="shared" ca="1" si="28"/>
        <v>106.28595055392734</v>
      </c>
      <c r="K202">
        <f t="shared" ca="1" si="29"/>
        <v>81.7210054602279</v>
      </c>
    </row>
    <row r="203" spans="1:11" x14ac:dyDescent="0.3">
      <c r="A203" t="s">
        <v>16</v>
      </c>
      <c r="B203">
        <v>2</v>
      </c>
      <c r="C203">
        <v>411171</v>
      </c>
      <c r="D203">
        <v>411535</v>
      </c>
      <c r="E203">
        <v>411833</v>
      </c>
      <c r="F203">
        <v>411593</v>
      </c>
      <c r="G203">
        <f t="shared" ca="1" si="25"/>
        <v>411155</v>
      </c>
      <c r="H203">
        <f t="shared" ca="1" si="26"/>
        <v>3.8914764504870427</v>
      </c>
      <c r="I203">
        <f t="shared" ca="1" si="27"/>
        <v>92.422565699067263</v>
      </c>
      <c r="J203">
        <f t="shared" ca="1" si="28"/>
        <v>164.90131458938845</v>
      </c>
      <c r="K203">
        <f t="shared" ca="1" si="29"/>
        <v>106.52916783208281</v>
      </c>
    </row>
    <row r="204" spans="1:11" x14ac:dyDescent="0.3">
      <c r="A204" t="s">
        <v>53</v>
      </c>
      <c r="B204">
        <v>3</v>
      </c>
      <c r="C204">
        <v>411279</v>
      </c>
      <c r="D204">
        <v>411592</v>
      </c>
      <c r="E204">
        <v>411755</v>
      </c>
      <c r="F204">
        <v>411713</v>
      </c>
      <c r="G204">
        <f t="shared" ca="1" si="25"/>
        <v>411155</v>
      </c>
      <c r="H204">
        <f t="shared" ca="1" si="26"/>
        <v>30.158942491274576</v>
      </c>
      <c r="I204">
        <f t="shared" ca="1" si="27"/>
        <v>106.28595055392734</v>
      </c>
      <c r="J204">
        <f t="shared" ca="1" si="28"/>
        <v>145.93036689326411</v>
      </c>
      <c r="K204">
        <f t="shared" ca="1" si="29"/>
        <v>135.7152412107356</v>
      </c>
    </row>
    <row r="205" spans="1:11" x14ac:dyDescent="0.3">
      <c r="A205" t="s">
        <v>53</v>
      </c>
      <c r="B205">
        <v>4</v>
      </c>
      <c r="C205">
        <v>411182</v>
      </c>
      <c r="D205">
        <v>411592</v>
      </c>
      <c r="E205">
        <v>411561</v>
      </c>
      <c r="F205">
        <v>411537</v>
      </c>
      <c r="G205">
        <f t="shared" ca="1" si="25"/>
        <v>411155</v>
      </c>
      <c r="H205">
        <f t="shared" ca="1" si="26"/>
        <v>6.5668665101968839</v>
      </c>
      <c r="I205">
        <f t="shared" ca="1" si="27"/>
        <v>106.28595055392734</v>
      </c>
      <c r="J205">
        <f t="shared" ca="1" si="28"/>
        <v>98.746214931108696</v>
      </c>
      <c r="K205">
        <f t="shared" ca="1" si="29"/>
        <v>92.909000255378146</v>
      </c>
    </row>
    <row r="206" spans="1:11" x14ac:dyDescent="0.3">
      <c r="A206" t="s">
        <v>53</v>
      </c>
      <c r="B206">
        <v>5</v>
      </c>
      <c r="C206">
        <v>411239</v>
      </c>
      <c r="D206">
        <v>411645</v>
      </c>
      <c r="E206">
        <v>411652</v>
      </c>
      <c r="F206">
        <v>411443</v>
      </c>
      <c r="G206">
        <f t="shared" ca="1" si="25"/>
        <v>411155</v>
      </c>
      <c r="H206">
        <f t="shared" ca="1" si="26"/>
        <v>20.430251365056975</v>
      </c>
      <c r="I206">
        <f t="shared" ca="1" si="27"/>
        <v>119.17646629616569</v>
      </c>
      <c r="J206">
        <f t="shared" ca="1" si="28"/>
        <v>120.87898724325377</v>
      </c>
      <c r="K206">
        <f t="shared" ca="1" si="29"/>
        <v>70.046576108766772</v>
      </c>
    </row>
    <row r="207" spans="1:11" x14ac:dyDescent="0.3">
      <c r="A207" t="s">
        <v>53</v>
      </c>
      <c r="B207">
        <v>6</v>
      </c>
      <c r="C207">
        <v>411155</v>
      </c>
      <c r="D207">
        <v>411458</v>
      </c>
      <c r="E207">
        <v>411592</v>
      </c>
      <c r="F207">
        <v>411592</v>
      </c>
      <c r="G207">
        <f t="shared" ca="1" si="25"/>
        <v>411155</v>
      </c>
      <c r="H207">
        <f t="shared" ca="1" si="26"/>
        <v>0</v>
      </c>
      <c r="I207">
        <f t="shared" ca="1" si="27"/>
        <v>73.694835281098364</v>
      </c>
      <c r="J207">
        <f t="shared" ca="1" si="28"/>
        <v>106.28595055392734</v>
      </c>
      <c r="K207">
        <f t="shared" ca="1" si="29"/>
        <v>106.28595055392734</v>
      </c>
    </row>
    <row r="208" spans="1:11" x14ac:dyDescent="0.3">
      <c r="A208" t="s">
        <v>53</v>
      </c>
      <c r="B208">
        <v>7</v>
      </c>
      <c r="C208">
        <v>411289</v>
      </c>
      <c r="D208">
        <v>411592</v>
      </c>
      <c r="E208">
        <v>411770</v>
      </c>
      <c r="F208">
        <v>411586</v>
      </c>
      <c r="G208">
        <f t="shared" ca="1" si="25"/>
        <v>411155</v>
      </c>
      <c r="H208">
        <f t="shared" ca="1" si="26"/>
        <v>32.591115272828986</v>
      </c>
      <c r="I208">
        <f t="shared" ca="1" si="27"/>
        <v>106.28595055392734</v>
      </c>
      <c r="J208">
        <f t="shared" ca="1" si="28"/>
        <v>149.5786260655957</v>
      </c>
      <c r="K208">
        <f t="shared" ca="1" si="29"/>
        <v>104.82664688499472</v>
      </c>
    </row>
    <row r="209" spans="1:11" x14ac:dyDescent="0.3">
      <c r="A209" t="s">
        <v>53</v>
      </c>
      <c r="B209">
        <v>8</v>
      </c>
      <c r="C209">
        <v>411215</v>
      </c>
      <c r="D209">
        <v>411592</v>
      </c>
      <c r="E209">
        <v>411635</v>
      </c>
      <c r="F209">
        <v>411581</v>
      </c>
      <c r="G209">
        <f t="shared" ca="1" si="25"/>
        <v>411155</v>
      </c>
      <c r="H209">
        <f t="shared" ca="1" si="26"/>
        <v>14.593036689326409</v>
      </c>
      <c r="I209">
        <f t="shared" ca="1" si="27"/>
        <v>106.28595055392734</v>
      </c>
      <c r="J209">
        <f t="shared" ca="1" si="28"/>
        <v>116.74429351461127</v>
      </c>
      <c r="K209">
        <f t="shared" ca="1" si="29"/>
        <v>103.61056049421752</v>
      </c>
    </row>
    <row r="210" spans="1:11" x14ac:dyDescent="0.3">
      <c r="A210" t="s">
        <v>53</v>
      </c>
      <c r="B210">
        <v>9</v>
      </c>
      <c r="C210">
        <v>411192</v>
      </c>
      <c r="D210">
        <v>411501</v>
      </c>
      <c r="E210">
        <v>411834</v>
      </c>
      <c r="F210">
        <v>411633</v>
      </c>
      <c r="G210">
        <f t="shared" ca="1" si="25"/>
        <v>411155</v>
      </c>
      <c r="H210">
        <f t="shared" ca="1" si="26"/>
        <v>8.9990392917512843</v>
      </c>
      <c r="I210">
        <f t="shared" ca="1" si="27"/>
        <v>84.1531782417823</v>
      </c>
      <c r="J210">
        <f t="shared" ca="1" si="28"/>
        <v>165.14453186754389</v>
      </c>
      <c r="K210">
        <f t="shared" ca="1" si="29"/>
        <v>116.2578589583004</v>
      </c>
    </row>
    <row r="211" spans="1:11" x14ac:dyDescent="0.3">
      <c r="A211" t="s">
        <v>53</v>
      </c>
      <c r="B211">
        <v>10</v>
      </c>
      <c r="C211">
        <v>411208</v>
      </c>
      <c r="D211">
        <v>411592</v>
      </c>
      <c r="E211">
        <v>411592</v>
      </c>
      <c r="F211">
        <v>411659</v>
      </c>
      <c r="G211">
        <f t="shared" ca="1" si="25"/>
        <v>411155</v>
      </c>
      <c r="H211">
        <f t="shared" ca="1" si="26"/>
        <v>12.890515742238328</v>
      </c>
      <c r="I211">
        <f t="shared" ca="1" si="27"/>
        <v>106.28595055392734</v>
      </c>
      <c r="J211">
        <f t="shared" ca="1" si="28"/>
        <v>106.28595055392734</v>
      </c>
      <c r="K211">
        <f t="shared" ca="1" si="29"/>
        <v>122.58150819034185</v>
      </c>
    </row>
    <row r="212" spans="1:11" x14ac:dyDescent="0.3">
      <c r="A212" t="s">
        <v>68</v>
      </c>
      <c r="B212">
        <v>1</v>
      </c>
      <c r="C212">
        <v>400546</v>
      </c>
      <c r="D212">
        <v>400659</v>
      </c>
      <c r="E212">
        <v>400699</v>
      </c>
      <c r="F212">
        <v>400684</v>
      </c>
      <c r="G212">
        <f t="shared" ca="1" si="25"/>
        <v>400539</v>
      </c>
      <c r="H212">
        <f t="shared" ca="1" si="26"/>
        <v>1.7476450482974193</v>
      </c>
      <c r="I212">
        <f t="shared" ca="1" si="27"/>
        <v>29.95962939938433</v>
      </c>
      <c r="J212">
        <f t="shared" ca="1" si="28"/>
        <v>39.946172532512442</v>
      </c>
      <c r="K212">
        <f t="shared" ca="1" si="29"/>
        <v>36.201218857589396</v>
      </c>
    </row>
    <row r="213" spans="1:11" x14ac:dyDescent="0.3">
      <c r="A213" t="s">
        <v>68</v>
      </c>
      <c r="B213">
        <v>2</v>
      </c>
      <c r="C213">
        <v>400642</v>
      </c>
      <c r="D213">
        <v>400636</v>
      </c>
      <c r="E213">
        <v>400711</v>
      </c>
      <c r="F213">
        <v>400641</v>
      </c>
      <c r="G213">
        <f t="shared" ca="1" si="25"/>
        <v>400539</v>
      </c>
      <c r="H213">
        <f t="shared" ca="1" si="26"/>
        <v>25.715348567804881</v>
      </c>
      <c r="I213">
        <f t="shared" ca="1" si="27"/>
        <v>24.217367097835666</v>
      </c>
      <c r="J213">
        <f t="shared" ca="1" si="28"/>
        <v>42.942135472450872</v>
      </c>
      <c r="K213">
        <f t="shared" ca="1" si="29"/>
        <v>25.465684989476678</v>
      </c>
    </row>
    <row r="214" spans="1:11" x14ac:dyDescent="0.3">
      <c r="A214" t="s">
        <v>22</v>
      </c>
      <c r="B214">
        <v>3</v>
      </c>
      <c r="C214">
        <v>400599</v>
      </c>
      <c r="D214">
        <v>400636</v>
      </c>
      <c r="E214">
        <v>400663</v>
      </c>
      <c r="F214">
        <v>400648</v>
      </c>
      <c r="G214">
        <f t="shared" ca="1" si="25"/>
        <v>400539</v>
      </c>
      <c r="H214">
        <f t="shared" ca="1" si="26"/>
        <v>14.979814699692165</v>
      </c>
      <c r="I214">
        <f t="shared" ca="1" si="27"/>
        <v>24.217367097835666</v>
      </c>
      <c r="J214">
        <f t="shared" ca="1" si="28"/>
        <v>30.958283712697142</v>
      </c>
      <c r="K214">
        <f t="shared" ca="1" si="29"/>
        <v>27.213330037774099</v>
      </c>
    </row>
    <row r="215" spans="1:11" x14ac:dyDescent="0.3">
      <c r="A215" t="s">
        <v>22</v>
      </c>
      <c r="B215">
        <v>4</v>
      </c>
      <c r="C215">
        <v>400550</v>
      </c>
      <c r="D215">
        <v>400623</v>
      </c>
      <c r="E215">
        <v>400665</v>
      </c>
      <c r="F215">
        <v>400638</v>
      </c>
      <c r="G215">
        <f t="shared" ca="1" si="25"/>
        <v>400539</v>
      </c>
      <c r="H215">
        <f t="shared" ca="1" si="26"/>
        <v>2.7462993616102302</v>
      </c>
      <c r="I215">
        <f t="shared" ca="1" si="27"/>
        <v>20.97174057956903</v>
      </c>
      <c r="J215">
        <f t="shared" ca="1" si="28"/>
        <v>31.457610869353545</v>
      </c>
      <c r="K215">
        <f t="shared" ca="1" si="29"/>
        <v>24.716694254492076</v>
      </c>
    </row>
    <row r="216" spans="1:11" x14ac:dyDescent="0.3">
      <c r="A216" t="s">
        <v>22</v>
      </c>
      <c r="B216">
        <v>5</v>
      </c>
      <c r="C216">
        <v>400589</v>
      </c>
      <c r="D216">
        <v>400619</v>
      </c>
      <c r="E216">
        <v>400686</v>
      </c>
      <c r="F216">
        <v>400619</v>
      </c>
      <c r="G216">
        <f t="shared" ca="1" si="25"/>
        <v>400539</v>
      </c>
      <c r="H216">
        <f t="shared" ca="1" si="26"/>
        <v>12.483178916410136</v>
      </c>
      <c r="I216">
        <f t="shared" ca="1" si="27"/>
        <v>19.973086266256221</v>
      </c>
      <c r="J216">
        <f t="shared" ca="1" si="28"/>
        <v>36.700546014245809</v>
      </c>
      <c r="K216">
        <f t="shared" ca="1" si="29"/>
        <v>19.973086266256221</v>
      </c>
    </row>
    <row r="217" spans="1:11" x14ac:dyDescent="0.3">
      <c r="A217" t="s">
        <v>22</v>
      </c>
      <c r="B217">
        <v>6</v>
      </c>
      <c r="C217">
        <v>400547</v>
      </c>
      <c r="D217">
        <v>400640</v>
      </c>
      <c r="E217">
        <v>400660</v>
      </c>
      <c r="F217">
        <v>400628</v>
      </c>
      <c r="G217">
        <f t="shared" ca="1" si="25"/>
        <v>400539</v>
      </c>
      <c r="H217">
        <f t="shared" ca="1" si="26"/>
        <v>1.9973086266256221</v>
      </c>
      <c r="I217">
        <f t="shared" ca="1" si="27"/>
        <v>25.216021411148475</v>
      </c>
      <c r="J217">
        <f t="shared" ca="1" si="28"/>
        <v>30.209292977712533</v>
      </c>
      <c r="K217">
        <f t="shared" ca="1" si="29"/>
        <v>22.220058471210045</v>
      </c>
    </row>
    <row r="218" spans="1:11" x14ac:dyDescent="0.3">
      <c r="A218" t="s">
        <v>22</v>
      </c>
      <c r="B218">
        <v>7</v>
      </c>
      <c r="C218">
        <v>400570</v>
      </c>
      <c r="D218">
        <v>400624</v>
      </c>
      <c r="E218">
        <v>400660</v>
      </c>
      <c r="F218">
        <v>400609</v>
      </c>
      <c r="G218">
        <f t="shared" ca="1" si="25"/>
        <v>400539</v>
      </c>
      <c r="H218">
        <f t="shared" ca="1" si="26"/>
        <v>7.7395709281742855</v>
      </c>
      <c r="I218">
        <f t="shared" ca="1" si="27"/>
        <v>21.221404157897236</v>
      </c>
      <c r="J218">
        <f t="shared" ca="1" si="28"/>
        <v>30.209292977712533</v>
      </c>
      <c r="K218">
        <f t="shared" ca="1" si="29"/>
        <v>17.476450482974194</v>
      </c>
    </row>
    <row r="219" spans="1:11" x14ac:dyDescent="0.3">
      <c r="A219" t="s">
        <v>22</v>
      </c>
      <c r="B219">
        <v>8</v>
      </c>
      <c r="C219">
        <v>400673</v>
      </c>
      <c r="D219">
        <v>400634</v>
      </c>
      <c r="E219">
        <v>400658</v>
      </c>
      <c r="F219">
        <v>400539</v>
      </c>
      <c r="G219">
        <f t="shared" ca="1" si="25"/>
        <v>400539</v>
      </c>
      <c r="H219">
        <f t="shared" ca="1" si="26"/>
        <v>33.454919495979169</v>
      </c>
      <c r="I219">
        <f t="shared" ca="1" si="27"/>
        <v>23.71803994117926</v>
      </c>
      <c r="J219">
        <f t="shared" ca="1" si="28"/>
        <v>29.709965821056123</v>
      </c>
      <c r="K219">
        <f t="shared" ca="1" si="29"/>
        <v>0</v>
      </c>
    </row>
    <row r="220" spans="1:11" x14ac:dyDescent="0.3">
      <c r="A220" t="s">
        <v>22</v>
      </c>
      <c r="B220">
        <v>9</v>
      </c>
      <c r="C220">
        <v>400565</v>
      </c>
      <c r="D220">
        <v>400663</v>
      </c>
      <c r="E220">
        <v>400610</v>
      </c>
      <c r="F220">
        <v>400655</v>
      </c>
      <c r="G220">
        <f t="shared" ca="1" si="25"/>
        <v>400539</v>
      </c>
      <c r="H220">
        <f t="shared" ca="1" si="26"/>
        <v>6.491253036533271</v>
      </c>
      <c r="I220">
        <f t="shared" ca="1" si="27"/>
        <v>30.958283712697142</v>
      </c>
      <c r="J220">
        <f t="shared" ca="1" si="28"/>
        <v>17.726114061302393</v>
      </c>
      <c r="K220">
        <f t="shared" ca="1" si="29"/>
        <v>28.960975086071521</v>
      </c>
    </row>
    <row r="221" spans="1:11" x14ac:dyDescent="0.3">
      <c r="A221" t="s">
        <v>22</v>
      </c>
      <c r="B221">
        <v>10</v>
      </c>
      <c r="C221">
        <v>400551</v>
      </c>
      <c r="D221">
        <v>400690</v>
      </c>
      <c r="E221">
        <v>400678</v>
      </c>
      <c r="F221">
        <v>400680</v>
      </c>
      <c r="G221">
        <f t="shared" ca="1" si="25"/>
        <v>400539</v>
      </c>
      <c r="H221">
        <f t="shared" ca="1" si="26"/>
        <v>2.9959629399384329</v>
      </c>
      <c r="I221">
        <f t="shared" ca="1" si="27"/>
        <v>37.699200327558614</v>
      </c>
      <c r="J221">
        <f t="shared" ca="1" si="28"/>
        <v>34.703237387620177</v>
      </c>
      <c r="K221">
        <f t="shared" ca="1" si="29"/>
        <v>35.202564544276591</v>
      </c>
    </row>
    <row r="222" spans="1:11" x14ac:dyDescent="0.3">
      <c r="A222" t="s">
        <v>69</v>
      </c>
      <c r="B222">
        <v>1</v>
      </c>
      <c r="C222">
        <v>401491</v>
      </c>
      <c r="D222">
        <v>401444</v>
      </c>
      <c r="E222">
        <v>401587</v>
      </c>
      <c r="F222">
        <v>401641</v>
      </c>
      <c r="G222">
        <f t="shared" ca="1" si="25"/>
        <v>401414</v>
      </c>
      <c r="H222">
        <f t="shared" ca="1" si="26"/>
        <v>19.182190954974164</v>
      </c>
      <c r="I222">
        <f t="shared" ca="1" si="27"/>
        <v>7.4735808915483757</v>
      </c>
      <c r="J222">
        <f t="shared" ca="1" si="28"/>
        <v>43.097649807928967</v>
      </c>
      <c r="K222">
        <f t="shared" ca="1" si="29"/>
        <v>56.550095412716047</v>
      </c>
    </row>
    <row r="223" spans="1:11" x14ac:dyDescent="0.3">
      <c r="A223" t="s">
        <v>69</v>
      </c>
      <c r="B223">
        <v>2</v>
      </c>
      <c r="C223">
        <v>401490</v>
      </c>
      <c r="D223">
        <v>401477</v>
      </c>
      <c r="E223">
        <v>401662</v>
      </c>
      <c r="F223">
        <v>401687</v>
      </c>
      <c r="G223">
        <f t="shared" ca="1" si="25"/>
        <v>401414</v>
      </c>
      <c r="H223">
        <f t="shared" ca="1" si="26"/>
        <v>18.933071591922555</v>
      </c>
      <c r="I223">
        <f t="shared" ca="1" si="27"/>
        <v>15.694519872251592</v>
      </c>
      <c r="J223">
        <f t="shared" ca="1" si="28"/>
        <v>61.781602036799917</v>
      </c>
      <c r="K223">
        <f t="shared" ca="1" si="29"/>
        <v>68.009586113090222</v>
      </c>
    </row>
    <row r="224" spans="1:11" x14ac:dyDescent="0.3">
      <c r="A224" t="s">
        <v>23</v>
      </c>
      <c r="B224">
        <v>3</v>
      </c>
      <c r="C224">
        <v>401430</v>
      </c>
      <c r="D224">
        <v>401544</v>
      </c>
      <c r="E224">
        <v>401599</v>
      </c>
      <c r="F224">
        <v>401771</v>
      </c>
      <c r="G224">
        <f t="shared" ca="1" si="25"/>
        <v>401414</v>
      </c>
      <c r="H224">
        <f t="shared" ca="1" si="26"/>
        <v>3.9859098088258009</v>
      </c>
      <c r="I224">
        <f t="shared" ca="1" si="27"/>
        <v>32.385517196709628</v>
      </c>
      <c r="J224">
        <f t="shared" ca="1" si="28"/>
        <v>46.08708216454832</v>
      </c>
      <c r="K224">
        <f t="shared" ca="1" si="29"/>
        <v>88.935612609425675</v>
      </c>
    </row>
    <row r="225" spans="1:11" x14ac:dyDescent="0.3">
      <c r="A225" t="s">
        <v>23</v>
      </c>
      <c r="B225">
        <v>4</v>
      </c>
      <c r="C225">
        <v>401454</v>
      </c>
      <c r="D225">
        <v>401641</v>
      </c>
      <c r="E225">
        <v>401795</v>
      </c>
      <c r="F225">
        <v>401685</v>
      </c>
      <c r="G225">
        <f t="shared" ca="1" si="25"/>
        <v>401414</v>
      </c>
      <c r="H225">
        <f t="shared" ca="1" si="26"/>
        <v>9.9647745220645021</v>
      </c>
      <c r="I225">
        <f t="shared" ca="1" si="27"/>
        <v>56.550095412716047</v>
      </c>
      <c r="J225">
        <f t="shared" ca="1" si="28"/>
        <v>94.914477322664382</v>
      </c>
      <c r="K225">
        <f t="shared" ca="1" si="29"/>
        <v>67.511347386986998</v>
      </c>
    </row>
    <row r="226" spans="1:11" x14ac:dyDescent="0.3">
      <c r="A226" t="s">
        <v>23</v>
      </c>
      <c r="B226">
        <v>5</v>
      </c>
      <c r="C226">
        <v>401492</v>
      </c>
      <c r="D226">
        <v>401468</v>
      </c>
      <c r="E226">
        <v>401614</v>
      </c>
      <c r="F226">
        <v>401709</v>
      </c>
      <c r="G226">
        <f t="shared" ca="1" si="25"/>
        <v>401414</v>
      </c>
      <c r="H226">
        <f t="shared" ca="1" si="26"/>
        <v>19.43131031802578</v>
      </c>
      <c r="I226">
        <f t="shared" ca="1" si="27"/>
        <v>13.452445604787078</v>
      </c>
      <c r="J226">
        <f t="shared" ca="1" si="28"/>
        <v>49.823872610322503</v>
      </c>
      <c r="K226">
        <f t="shared" ca="1" si="29"/>
        <v>73.490212100225705</v>
      </c>
    </row>
    <row r="227" spans="1:11" x14ac:dyDescent="0.3">
      <c r="A227" t="s">
        <v>23</v>
      </c>
      <c r="B227">
        <v>6</v>
      </c>
      <c r="C227">
        <v>401497</v>
      </c>
      <c r="D227">
        <v>401488</v>
      </c>
      <c r="E227">
        <v>401610</v>
      </c>
      <c r="F227">
        <v>401688</v>
      </c>
      <c r="G227">
        <f t="shared" ca="1" si="25"/>
        <v>401414</v>
      </c>
      <c r="H227">
        <f t="shared" ca="1" si="26"/>
        <v>20.676907133283841</v>
      </c>
      <c r="I227">
        <f t="shared" ca="1" si="27"/>
        <v>18.434832865819327</v>
      </c>
      <c r="J227">
        <f t="shared" ca="1" si="28"/>
        <v>48.827395158116055</v>
      </c>
      <c r="K227">
        <f t="shared" ca="1" si="29"/>
        <v>68.258705476141841</v>
      </c>
    </row>
    <row r="228" spans="1:11" x14ac:dyDescent="0.3">
      <c r="A228" t="s">
        <v>23</v>
      </c>
      <c r="B228">
        <v>7</v>
      </c>
      <c r="C228">
        <v>401461</v>
      </c>
      <c r="D228">
        <v>401483</v>
      </c>
      <c r="E228">
        <v>401754</v>
      </c>
      <c r="F228">
        <v>401612</v>
      </c>
      <c r="G228">
        <f t="shared" ca="1" si="25"/>
        <v>401414</v>
      </c>
      <c r="H228">
        <f t="shared" ca="1" si="26"/>
        <v>11.708610063425791</v>
      </c>
      <c r="I228">
        <f t="shared" ca="1" si="27"/>
        <v>17.189236050561266</v>
      </c>
      <c r="J228">
        <f t="shared" ca="1" si="28"/>
        <v>84.700583437548261</v>
      </c>
      <c r="K228">
        <f t="shared" ca="1" si="29"/>
        <v>49.325633884219286</v>
      </c>
    </row>
    <row r="229" spans="1:11" x14ac:dyDescent="0.3">
      <c r="A229" t="s">
        <v>23</v>
      </c>
      <c r="B229">
        <v>8</v>
      </c>
      <c r="C229">
        <v>401516</v>
      </c>
      <c r="D229">
        <v>401473</v>
      </c>
      <c r="E229">
        <v>401652</v>
      </c>
      <c r="F229">
        <v>401535</v>
      </c>
      <c r="G229">
        <f t="shared" ca="1" si="25"/>
        <v>401414</v>
      </c>
      <c r="H229">
        <f t="shared" ca="1" si="26"/>
        <v>25.41017503126448</v>
      </c>
      <c r="I229">
        <f t="shared" ca="1" si="27"/>
        <v>14.698042420045141</v>
      </c>
      <c r="J229">
        <f t="shared" ca="1" si="28"/>
        <v>59.290408406283788</v>
      </c>
      <c r="K229">
        <f t="shared" ca="1" si="29"/>
        <v>30.143442929245122</v>
      </c>
    </row>
    <row r="230" spans="1:11" x14ac:dyDescent="0.3">
      <c r="A230" t="s">
        <v>23</v>
      </c>
      <c r="B230">
        <v>9</v>
      </c>
      <c r="C230">
        <v>401453</v>
      </c>
      <c r="D230">
        <v>401414</v>
      </c>
      <c r="E230">
        <v>401602</v>
      </c>
      <c r="F230">
        <v>401702</v>
      </c>
      <c r="G230">
        <f t="shared" ca="1" si="25"/>
        <v>401414</v>
      </c>
      <c r="H230">
        <f t="shared" ca="1" si="26"/>
        <v>9.7156551590128899</v>
      </c>
      <c r="I230">
        <f t="shared" ca="1" si="27"/>
        <v>0</v>
      </c>
      <c r="J230">
        <f t="shared" ca="1" si="28"/>
        <v>46.834440253703164</v>
      </c>
      <c r="K230">
        <f t="shared" ca="1" si="29"/>
        <v>71.746376558864412</v>
      </c>
    </row>
    <row r="231" spans="1:11" x14ac:dyDescent="0.3">
      <c r="A231" t="s">
        <v>23</v>
      </c>
      <c r="B231">
        <v>10</v>
      </c>
      <c r="C231">
        <v>401471</v>
      </c>
      <c r="D231">
        <v>401533</v>
      </c>
      <c r="E231">
        <v>401698</v>
      </c>
      <c r="F231">
        <v>401636</v>
      </c>
      <c r="G231">
        <f t="shared" ca="1" si="25"/>
        <v>401414</v>
      </c>
      <c r="H231">
        <f t="shared" ca="1" si="26"/>
        <v>14.199803693941917</v>
      </c>
      <c r="I231">
        <f t="shared" ca="1" si="27"/>
        <v>29.645204203141894</v>
      </c>
      <c r="J231">
        <f t="shared" ca="1" si="28"/>
        <v>70.749899106657963</v>
      </c>
      <c r="K231">
        <f t="shared" ca="1" si="29"/>
        <v>55.304498597457993</v>
      </c>
    </row>
    <row r="232" spans="1:11" x14ac:dyDescent="0.3">
      <c r="A232" t="s">
        <v>70</v>
      </c>
      <c r="B232">
        <v>1</v>
      </c>
      <c r="C232">
        <v>421269</v>
      </c>
      <c r="D232">
        <v>421408</v>
      </c>
      <c r="E232">
        <v>421585</v>
      </c>
      <c r="F232">
        <v>421409</v>
      </c>
      <c r="G232">
        <f t="shared" ca="1" si="25"/>
        <v>421225</v>
      </c>
      <c r="H232">
        <f t="shared" ca="1" si="26"/>
        <v>10.445723781826816</v>
      </c>
      <c r="I232">
        <f t="shared" ca="1" si="27"/>
        <v>43.444714819870619</v>
      </c>
      <c r="J232">
        <f t="shared" ca="1" si="28"/>
        <v>85.465012760401208</v>
      </c>
      <c r="K232">
        <f t="shared" ca="1" si="29"/>
        <v>43.682117633093952</v>
      </c>
    </row>
    <row r="233" spans="1:11" x14ac:dyDescent="0.3">
      <c r="A233" t="s">
        <v>70</v>
      </c>
      <c r="B233">
        <v>2</v>
      </c>
      <c r="C233">
        <v>421267</v>
      </c>
      <c r="D233">
        <v>421415</v>
      </c>
      <c r="E233">
        <v>421612</v>
      </c>
      <c r="F233">
        <v>421482</v>
      </c>
      <c r="G233">
        <f t="shared" ca="1" si="25"/>
        <v>421225</v>
      </c>
      <c r="H233">
        <f t="shared" ca="1" si="26"/>
        <v>9.9709181553801418</v>
      </c>
      <c r="I233">
        <f t="shared" ca="1" si="27"/>
        <v>45.106534512433967</v>
      </c>
      <c r="J233">
        <f t="shared" ca="1" si="28"/>
        <v>91.87488871743129</v>
      </c>
      <c r="K233">
        <f t="shared" ca="1" si="29"/>
        <v>61.012522998397529</v>
      </c>
    </row>
    <row r="234" spans="1:11" x14ac:dyDescent="0.3">
      <c r="A234" t="s">
        <v>24</v>
      </c>
      <c r="B234">
        <v>3</v>
      </c>
      <c r="C234">
        <v>421412</v>
      </c>
      <c r="D234">
        <v>421376</v>
      </c>
      <c r="E234">
        <v>421673</v>
      </c>
      <c r="F234">
        <v>421508</v>
      </c>
      <c r="G234">
        <f t="shared" ca="1" si="25"/>
        <v>421225</v>
      </c>
      <c r="H234">
        <f t="shared" ca="1" si="26"/>
        <v>44.394326072763967</v>
      </c>
      <c r="I234">
        <f t="shared" ca="1" si="27"/>
        <v>35.847824796723842</v>
      </c>
      <c r="J234">
        <f t="shared" ca="1" si="28"/>
        <v>106.35646032405484</v>
      </c>
      <c r="K234">
        <f t="shared" ca="1" si="29"/>
        <v>67.184996142204284</v>
      </c>
    </row>
    <row r="235" spans="1:11" x14ac:dyDescent="0.3">
      <c r="A235" t="s">
        <v>24</v>
      </c>
      <c r="B235">
        <v>4</v>
      </c>
      <c r="C235">
        <v>421358</v>
      </c>
      <c r="D235">
        <v>421582</v>
      </c>
      <c r="E235">
        <v>421723</v>
      </c>
      <c r="F235">
        <v>421261</v>
      </c>
      <c r="G235">
        <f t="shared" ca="1" si="25"/>
        <v>421225</v>
      </c>
      <c r="H235">
        <f t="shared" ca="1" si="26"/>
        <v>31.574574158703779</v>
      </c>
      <c r="I235">
        <f t="shared" ca="1" si="27"/>
        <v>84.752804320731201</v>
      </c>
      <c r="J235">
        <f t="shared" ca="1" si="28"/>
        <v>118.22660098522167</v>
      </c>
      <c r="K235">
        <f t="shared" ca="1" si="29"/>
        <v>8.5465012760401216</v>
      </c>
    </row>
    <row r="236" spans="1:11" x14ac:dyDescent="0.3">
      <c r="A236" t="s">
        <v>24</v>
      </c>
      <c r="B236">
        <v>5</v>
      </c>
      <c r="C236">
        <v>421225</v>
      </c>
      <c r="D236">
        <v>421536</v>
      </c>
      <c r="E236">
        <v>421836</v>
      </c>
      <c r="F236">
        <v>421254</v>
      </c>
      <c r="G236">
        <f t="shared" ca="1" si="25"/>
        <v>421225</v>
      </c>
      <c r="H236">
        <f t="shared" ca="1" si="26"/>
        <v>0</v>
      </c>
      <c r="I236">
        <f t="shared" ca="1" si="27"/>
        <v>73.83227491245772</v>
      </c>
      <c r="J236">
        <f t="shared" ca="1" si="28"/>
        <v>145.05311887945874</v>
      </c>
      <c r="K236">
        <f t="shared" ca="1" si="29"/>
        <v>6.8846815834767643</v>
      </c>
    </row>
    <row r="237" spans="1:11" x14ac:dyDescent="0.3">
      <c r="A237" t="s">
        <v>24</v>
      </c>
      <c r="B237">
        <v>6</v>
      </c>
      <c r="C237">
        <v>421273</v>
      </c>
      <c r="D237">
        <v>421474</v>
      </c>
      <c r="E237">
        <v>421559</v>
      </c>
      <c r="F237">
        <v>421467</v>
      </c>
      <c r="G237">
        <f t="shared" ca="1" si="25"/>
        <v>421225</v>
      </c>
      <c r="H237">
        <f t="shared" ca="1" si="26"/>
        <v>11.395335034720162</v>
      </c>
      <c r="I237">
        <f t="shared" ca="1" si="27"/>
        <v>59.113300492610833</v>
      </c>
      <c r="J237">
        <f t="shared" ca="1" si="28"/>
        <v>79.292539616594453</v>
      </c>
      <c r="K237">
        <f t="shared" ca="1" si="29"/>
        <v>57.451480800047484</v>
      </c>
    </row>
    <row r="238" spans="1:11" x14ac:dyDescent="0.3">
      <c r="A238" t="s">
        <v>24</v>
      </c>
      <c r="B238">
        <v>7</v>
      </c>
      <c r="C238">
        <v>421379</v>
      </c>
      <c r="D238">
        <v>421475</v>
      </c>
      <c r="E238">
        <v>421772</v>
      </c>
      <c r="F238">
        <v>421494</v>
      </c>
      <c r="G238">
        <f t="shared" ca="1" si="25"/>
        <v>421225</v>
      </c>
      <c r="H238">
        <f t="shared" ca="1" si="26"/>
        <v>36.560033236393849</v>
      </c>
      <c r="I238">
        <f t="shared" ca="1" si="27"/>
        <v>59.350703305834166</v>
      </c>
      <c r="J238">
        <f t="shared" ca="1" si="28"/>
        <v>129.85933883316517</v>
      </c>
      <c r="K238">
        <f t="shared" ca="1" si="29"/>
        <v>63.861356757077573</v>
      </c>
    </row>
    <row r="239" spans="1:11" x14ac:dyDescent="0.3">
      <c r="A239" t="s">
        <v>24</v>
      </c>
      <c r="B239">
        <v>8</v>
      </c>
      <c r="C239">
        <v>421351</v>
      </c>
      <c r="D239">
        <v>421384</v>
      </c>
      <c r="E239">
        <v>421777</v>
      </c>
      <c r="F239">
        <v>421590</v>
      </c>
      <c r="G239">
        <f t="shared" ca="1" si="25"/>
        <v>421225</v>
      </c>
      <c r="H239">
        <f t="shared" ca="1" si="26"/>
        <v>29.912754466140424</v>
      </c>
      <c r="I239">
        <f t="shared" ca="1" si="27"/>
        <v>37.747047302510538</v>
      </c>
      <c r="J239">
        <f t="shared" ca="1" si="28"/>
        <v>131.04635289928186</v>
      </c>
      <c r="K239">
        <f t="shared" ca="1" si="29"/>
        <v>86.652026826517883</v>
      </c>
    </row>
    <row r="240" spans="1:11" x14ac:dyDescent="0.3">
      <c r="A240" t="s">
        <v>24</v>
      </c>
      <c r="B240">
        <v>9</v>
      </c>
      <c r="C240">
        <v>421369</v>
      </c>
      <c r="D240">
        <v>421311</v>
      </c>
      <c r="E240">
        <v>421607</v>
      </c>
      <c r="F240">
        <v>421464</v>
      </c>
      <c r="G240">
        <f t="shared" ca="1" si="25"/>
        <v>421225</v>
      </c>
      <c r="H240">
        <f t="shared" ca="1" si="26"/>
        <v>34.186005104160486</v>
      </c>
      <c r="I240">
        <f t="shared" ca="1" si="27"/>
        <v>20.416641937206954</v>
      </c>
      <c r="J240">
        <f t="shared" ca="1" si="28"/>
        <v>90.687874651314615</v>
      </c>
      <c r="K240">
        <f t="shared" ca="1" si="29"/>
        <v>56.739272360377463</v>
      </c>
    </row>
    <row r="241" spans="1:11" x14ac:dyDescent="0.3">
      <c r="A241" t="s">
        <v>24</v>
      </c>
      <c r="B241">
        <v>10</v>
      </c>
      <c r="C241">
        <v>421228</v>
      </c>
      <c r="D241">
        <v>421368</v>
      </c>
      <c r="E241">
        <v>421797</v>
      </c>
      <c r="F241">
        <v>421462</v>
      </c>
      <c r="G241">
        <f t="shared" ca="1" si="25"/>
        <v>421225</v>
      </c>
      <c r="H241">
        <f t="shared" ca="1" si="26"/>
        <v>0.71220843967001013</v>
      </c>
      <c r="I241">
        <f t="shared" ca="1" si="27"/>
        <v>33.948602290937146</v>
      </c>
      <c r="J241">
        <f t="shared" ca="1" si="28"/>
        <v>135.79440916374858</v>
      </c>
      <c r="K241">
        <f t="shared" ca="1" si="29"/>
        <v>56.264466733930796</v>
      </c>
    </row>
    <row r="242" spans="1:11" x14ac:dyDescent="0.3">
      <c r="A242" t="s">
        <v>71</v>
      </c>
      <c r="B242">
        <v>1</v>
      </c>
      <c r="C242">
        <v>341563</v>
      </c>
      <c r="D242">
        <v>351280</v>
      </c>
      <c r="E242">
        <v>341359</v>
      </c>
      <c r="F242">
        <v>341138</v>
      </c>
      <c r="G242">
        <f t="shared" ca="1" si="25"/>
        <v>341138</v>
      </c>
      <c r="H242">
        <f ca="1">(C242-OFFSET($G$2, 10*INT((ROW()-2)/10), 0))/OFFSET($G$2, 10*INT((ROW()-2)/10), 0)*100*100</f>
        <v>12.458301332598538</v>
      </c>
      <c r="I242">
        <f t="shared" ref="I242:K242" ca="1" si="30">(D242-OFFSET($G$2, 10*INT((ROW()-2)/10), 0))/OFFSET($G$2, 10*INT((ROW()-2)/10), 0)*100*100</f>
        <v>297.29904027109268</v>
      </c>
      <c r="J242">
        <f t="shared" ca="1" si="30"/>
        <v>6.4783166929512399</v>
      </c>
      <c r="K242">
        <f t="shared" ca="1" si="30"/>
        <v>0</v>
      </c>
    </row>
    <row r="243" spans="1:11" x14ac:dyDescent="0.3">
      <c r="A243" t="s">
        <v>71</v>
      </c>
      <c r="B243">
        <v>2</v>
      </c>
      <c r="C243">
        <v>341170</v>
      </c>
      <c r="D243">
        <v>351346</v>
      </c>
      <c r="E243">
        <v>341213</v>
      </c>
      <c r="F243">
        <v>341384</v>
      </c>
      <c r="G243">
        <f t="shared" ca="1" si="25"/>
        <v>341138</v>
      </c>
      <c r="H243">
        <f t="shared" ref="H243:H251" ca="1" si="31">(C243-OFFSET($G$2, 10*INT((ROW()-2)/10), 0))/OFFSET($G$2, 10*INT((ROW()-2)/10), 0)*100*100</f>
        <v>0.93803680621918406</v>
      </c>
      <c r="I243">
        <f t="shared" ref="I243:I251" ca="1" si="32">(D243-OFFSET($G$2, 10*INT((ROW()-2)/10), 0))/OFFSET($G$2, 10*INT((ROW()-2)/10), 0)*100*100</f>
        <v>299.23374118391968</v>
      </c>
      <c r="J243">
        <f t="shared" ref="J243:J251" ca="1" si="33">(E243-OFFSET($G$2, 10*INT((ROW()-2)/10), 0))/OFFSET($G$2, 10*INT((ROW()-2)/10), 0)*100*100</f>
        <v>2.1985237645762123</v>
      </c>
      <c r="K243">
        <f t="shared" ref="K243:K251" ca="1" si="34">(F243-OFFSET($G$2, 10*INT((ROW()-2)/10), 0))/OFFSET($G$2, 10*INT((ROW()-2)/10), 0)*100*100</f>
        <v>7.2111579478099763</v>
      </c>
    </row>
    <row r="244" spans="1:11" x14ac:dyDescent="0.3">
      <c r="A244" t="s">
        <v>25</v>
      </c>
      <c r="B244">
        <v>3</v>
      </c>
      <c r="C244">
        <v>351205</v>
      </c>
      <c r="D244">
        <v>351220</v>
      </c>
      <c r="E244">
        <v>351395</v>
      </c>
      <c r="F244">
        <v>351451</v>
      </c>
      <c r="G244">
        <f t="shared" ca="1" si="25"/>
        <v>341138</v>
      </c>
      <c r="H244">
        <f t="shared" ca="1" si="31"/>
        <v>295.10051650651639</v>
      </c>
      <c r="I244">
        <f t="shared" ca="1" si="32"/>
        <v>295.54022125943169</v>
      </c>
      <c r="J244">
        <f t="shared" ca="1" si="33"/>
        <v>300.67011004344283</v>
      </c>
      <c r="K244">
        <f t="shared" ca="1" si="34"/>
        <v>302.31167445432641</v>
      </c>
    </row>
    <row r="245" spans="1:11" x14ac:dyDescent="0.3">
      <c r="A245" t="s">
        <v>25</v>
      </c>
      <c r="B245">
        <v>4</v>
      </c>
      <c r="C245">
        <v>341394</v>
      </c>
      <c r="D245">
        <v>341457</v>
      </c>
      <c r="E245">
        <v>341138</v>
      </c>
      <c r="F245">
        <v>341448</v>
      </c>
      <c r="G245">
        <f t="shared" ca="1" si="25"/>
        <v>341138</v>
      </c>
      <c r="H245">
        <f t="shared" ca="1" si="31"/>
        <v>7.5042944497534725</v>
      </c>
      <c r="I245">
        <f t="shared" ca="1" si="32"/>
        <v>9.3510544119974899</v>
      </c>
      <c r="J245">
        <f t="shared" ca="1" si="33"/>
        <v>0</v>
      </c>
      <c r="K245">
        <f t="shared" ca="1" si="34"/>
        <v>9.0872315602483447</v>
      </c>
    </row>
    <row r="246" spans="1:11" x14ac:dyDescent="0.3">
      <c r="A246" t="s">
        <v>25</v>
      </c>
      <c r="B246">
        <v>5</v>
      </c>
      <c r="C246">
        <v>341189</v>
      </c>
      <c r="D246">
        <v>341203</v>
      </c>
      <c r="E246">
        <v>341328</v>
      </c>
      <c r="F246">
        <v>341293</v>
      </c>
      <c r="G246">
        <f t="shared" ca="1" si="25"/>
        <v>341138</v>
      </c>
      <c r="H246">
        <f t="shared" ca="1" si="31"/>
        <v>1.4949961599118244</v>
      </c>
      <c r="I246">
        <f t="shared" ca="1" si="32"/>
        <v>1.9053872626327173</v>
      </c>
      <c r="J246">
        <f t="shared" ca="1" si="33"/>
        <v>5.5695935369264049</v>
      </c>
      <c r="K246">
        <f t="shared" ca="1" si="34"/>
        <v>4.5436157801241723</v>
      </c>
    </row>
    <row r="247" spans="1:11" x14ac:dyDescent="0.3">
      <c r="A247" t="s">
        <v>25</v>
      </c>
      <c r="B247">
        <v>6</v>
      </c>
      <c r="C247">
        <v>341616</v>
      </c>
      <c r="D247">
        <v>351255</v>
      </c>
      <c r="E247">
        <v>341330</v>
      </c>
      <c r="F247">
        <v>341168</v>
      </c>
      <c r="G247">
        <f t="shared" ca="1" si="25"/>
        <v>341138</v>
      </c>
      <c r="H247">
        <f t="shared" ca="1" si="31"/>
        <v>14.011924792899061</v>
      </c>
      <c r="I247">
        <f t="shared" ca="1" si="32"/>
        <v>296.5661990162339</v>
      </c>
      <c r="J247">
        <f t="shared" ca="1" si="33"/>
        <v>5.6282208373151041</v>
      </c>
      <c r="K247">
        <f t="shared" ca="1" si="34"/>
        <v>0.87940950583048505</v>
      </c>
    </row>
    <row r="248" spans="1:11" x14ac:dyDescent="0.3">
      <c r="A248" t="s">
        <v>25</v>
      </c>
      <c r="B248">
        <v>7</v>
      </c>
      <c r="C248">
        <v>341215</v>
      </c>
      <c r="D248">
        <v>341315</v>
      </c>
      <c r="E248">
        <v>351460</v>
      </c>
      <c r="F248">
        <v>341229</v>
      </c>
      <c r="G248">
        <f t="shared" ca="1" si="25"/>
        <v>341138</v>
      </c>
      <c r="H248">
        <f t="shared" ca="1" si="31"/>
        <v>2.2571510649649116</v>
      </c>
      <c r="I248">
        <f t="shared" ca="1" si="32"/>
        <v>5.1885160843998621</v>
      </c>
      <c r="J248">
        <f t="shared" ca="1" si="33"/>
        <v>302.57549730607553</v>
      </c>
      <c r="K248">
        <f t="shared" ca="1" si="34"/>
        <v>2.6675421676858049</v>
      </c>
    </row>
    <row r="249" spans="1:11" x14ac:dyDescent="0.3">
      <c r="A249" t="s">
        <v>25</v>
      </c>
      <c r="B249">
        <v>8</v>
      </c>
      <c r="C249">
        <v>341140</v>
      </c>
      <c r="D249">
        <v>341388</v>
      </c>
      <c r="E249">
        <v>351158</v>
      </c>
      <c r="F249">
        <v>351086</v>
      </c>
      <c r="G249">
        <f t="shared" ca="1" si="25"/>
        <v>341138</v>
      </c>
      <c r="H249">
        <f t="shared" ca="1" si="31"/>
        <v>5.8627300388699004E-2</v>
      </c>
      <c r="I249">
        <f t="shared" ca="1" si="32"/>
        <v>7.3284125485873748</v>
      </c>
      <c r="J249">
        <f t="shared" ca="1" si="33"/>
        <v>293.72277494738199</v>
      </c>
      <c r="K249">
        <f t="shared" ca="1" si="34"/>
        <v>291.61219213338882</v>
      </c>
    </row>
    <row r="250" spans="1:11" x14ac:dyDescent="0.3">
      <c r="A250" t="s">
        <v>25</v>
      </c>
      <c r="B250">
        <v>9</v>
      </c>
      <c r="C250">
        <v>341177</v>
      </c>
      <c r="D250">
        <v>341434</v>
      </c>
      <c r="E250">
        <v>351309</v>
      </c>
      <c r="F250">
        <v>351364</v>
      </c>
      <c r="G250">
        <f t="shared" ca="1" si="25"/>
        <v>341138</v>
      </c>
      <c r="H250">
        <f t="shared" ca="1" si="31"/>
        <v>1.1432323575796304</v>
      </c>
      <c r="I250">
        <f t="shared" ca="1" si="32"/>
        <v>8.6768404575274509</v>
      </c>
      <c r="J250">
        <f t="shared" ca="1" si="33"/>
        <v>298.14913612672876</v>
      </c>
      <c r="K250">
        <f t="shared" ca="1" si="34"/>
        <v>299.76138688741798</v>
      </c>
    </row>
    <row r="251" spans="1:11" x14ac:dyDescent="0.3">
      <c r="A251" t="s">
        <v>25</v>
      </c>
      <c r="B251">
        <v>10</v>
      </c>
      <c r="C251">
        <v>341282</v>
      </c>
      <c r="D251">
        <v>351363</v>
      </c>
      <c r="E251">
        <v>341138</v>
      </c>
      <c r="F251">
        <v>351272</v>
      </c>
      <c r="G251">
        <f t="shared" ca="1" si="25"/>
        <v>341138</v>
      </c>
      <c r="H251">
        <f t="shared" ca="1" si="31"/>
        <v>4.2211656279863288</v>
      </c>
      <c r="I251">
        <f t="shared" ca="1" si="32"/>
        <v>299.73207323722363</v>
      </c>
      <c r="J251">
        <f t="shared" ca="1" si="33"/>
        <v>0</v>
      </c>
      <c r="K251">
        <f t="shared" ca="1" si="34"/>
        <v>297.06453106953785</v>
      </c>
    </row>
    <row r="252" spans="1:11" x14ac:dyDescent="0.3">
      <c r="A252" t="s">
        <v>17</v>
      </c>
      <c r="B252">
        <v>1</v>
      </c>
      <c r="C252">
        <v>440965</v>
      </c>
      <c r="D252">
        <v>441066</v>
      </c>
      <c r="E252">
        <v>441499</v>
      </c>
      <c r="F252">
        <v>441214</v>
      </c>
      <c r="G252">
        <f t="shared" ca="1" si="25"/>
        <v>440942</v>
      </c>
      <c r="H252">
        <f t="shared" ca="1" si="26"/>
        <v>5.2161055195467876</v>
      </c>
      <c r="I252">
        <f t="shared" ca="1" si="27"/>
        <v>28.121612366252247</v>
      </c>
      <c r="J252">
        <f t="shared" ca="1" si="28"/>
        <v>126.32046845163309</v>
      </c>
      <c r="K252">
        <f t="shared" ca="1" si="29"/>
        <v>61.686117448553325</v>
      </c>
    </row>
    <row r="253" spans="1:11" x14ac:dyDescent="0.3">
      <c r="A253" t="s">
        <v>17</v>
      </c>
      <c r="B253">
        <v>2</v>
      </c>
      <c r="C253">
        <v>440942</v>
      </c>
      <c r="D253">
        <v>441059</v>
      </c>
      <c r="E253">
        <v>441412</v>
      </c>
      <c r="F253">
        <v>441222</v>
      </c>
      <c r="G253">
        <f t="shared" ca="1" si="25"/>
        <v>440942</v>
      </c>
      <c r="H253">
        <f t="shared" ca="1" si="26"/>
        <v>0</v>
      </c>
      <c r="I253">
        <f t="shared" ca="1" si="27"/>
        <v>26.534101990738009</v>
      </c>
      <c r="J253">
        <f t="shared" ca="1" si="28"/>
        <v>106.58998235595612</v>
      </c>
      <c r="K253">
        <f t="shared" ca="1" si="29"/>
        <v>63.500415020569591</v>
      </c>
    </row>
    <row r="254" spans="1:11" x14ac:dyDescent="0.3">
      <c r="A254" t="s">
        <v>54</v>
      </c>
      <c r="B254">
        <v>3</v>
      </c>
      <c r="C254">
        <v>440960</v>
      </c>
      <c r="D254">
        <v>441026</v>
      </c>
      <c r="E254">
        <v>441523</v>
      </c>
      <c r="F254">
        <v>441156</v>
      </c>
      <c r="G254">
        <f t="shared" ca="1" si="25"/>
        <v>440942</v>
      </c>
      <c r="H254">
        <f t="shared" ca="1" si="26"/>
        <v>4.0821695370366164</v>
      </c>
      <c r="I254">
        <f t="shared" ca="1" si="27"/>
        <v>19.050124506170878</v>
      </c>
      <c r="J254">
        <f t="shared" ca="1" si="28"/>
        <v>131.76336116768192</v>
      </c>
      <c r="K254">
        <f t="shared" ca="1" si="29"/>
        <v>48.532460051435336</v>
      </c>
    </row>
    <row r="255" spans="1:11" x14ac:dyDescent="0.3">
      <c r="A255" t="s">
        <v>54</v>
      </c>
      <c r="B255">
        <v>4</v>
      </c>
      <c r="C255">
        <v>440945</v>
      </c>
      <c r="D255">
        <v>441042</v>
      </c>
      <c r="E255">
        <v>441533</v>
      </c>
      <c r="F255">
        <v>441240</v>
      </c>
      <c r="G255">
        <f t="shared" ca="1" si="25"/>
        <v>440942</v>
      </c>
      <c r="H255">
        <f t="shared" ca="1" si="26"/>
        <v>0.68036158950610293</v>
      </c>
      <c r="I255">
        <f t="shared" ca="1" si="27"/>
        <v>22.67871965020343</v>
      </c>
      <c r="J255">
        <f t="shared" ca="1" si="28"/>
        <v>134.03123313270225</v>
      </c>
      <c r="K255">
        <f t="shared" ca="1" si="29"/>
        <v>67.582584557606225</v>
      </c>
    </row>
    <row r="256" spans="1:11" x14ac:dyDescent="0.3">
      <c r="A256" t="s">
        <v>54</v>
      </c>
      <c r="B256">
        <v>5</v>
      </c>
      <c r="C256">
        <v>441147</v>
      </c>
      <c r="D256">
        <v>441036</v>
      </c>
      <c r="E256">
        <v>441377</v>
      </c>
      <c r="F256">
        <v>441158</v>
      </c>
      <c r="G256">
        <f t="shared" ca="1" si="25"/>
        <v>440942</v>
      </c>
      <c r="H256">
        <f t="shared" ca="1" si="26"/>
        <v>46.491375282917026</v>
      </c>
      <c r="I256">
        <f t="shared" ca="1" si="27"/>
        <v>21.317996471191222</v>
      </c>
      <c r="J256">
        <f t="shared" ca="1" si="28"/>
        <v>98.652430478384915</v>
      </c>
      <c r="K256">
        <f t="shared" ca="1" si="29"/>
        <v>48.986034444439404</v>
      </c>
    </row>
    <row r="257" spans="1:11" x14ac:dyDescent="0.3">
      <c r="A257" t="s">
        <v>54</v>
      </c>
      <c r="B257">
        <v>6</v>
      </c>
      <c r="C257">
        <v>440974</v>
      </c>
      <c r="D257">
        <v>441079</v>
      </c>
      <c r="E257">
        <v>441434</v>
      </c>
      <c r="F257">
        <v>441192</v>
      </c>
      <c r="G257">
        <f t="shared" ca="1" si="25"/>
        <v>440942</v>
      </c>
      <c r="H257">
        <f t="shared" ca="1" si="26"/>
        <v>7.2571902880650967</v>
      </c>
      <c r="I257">
        <f t="shared" ca="1" si="27"/>
        <v>31.069845920778697</v>
      </c>
      <c r="J257">
        <f t="shared" ca="1" si="28"/>
        <v>111.57930067900087</v>
      </c>
      <c r="K257">
        <f t="shared" ca="1" si="29"/>
        <v>56.696799125508576</v>
      </c>
    </row>
    <row r="258" spans="1:11" x14ac:dyDescent="0.3">
      <c r="A258" t="s">
        <v>54</v>
      </c>
      <c r="B258">
        <v>7</v>
      </c>
      <c r="C258">
        <v>441094</v>
      </c>
      <c r="D258">
        <v>441125</v>
      </c>
      <c r="E258">
        <v>441383</v>
      </c>
      <c r="F258">
        <v>441193</v>
      </c>
      <c r="G258">
        <f t="shared" ca="1" si="25"/>
        <v>440942</v>
      </c>
      <c r="H258">
        <f t="shared" ca="1" si="26"/>
        <v>34.471653868309211</v>
      </c>
      <c r="I258">
        <f t="shared" ca="1" si="27"/>
        <v>41.502056959872277</v>
      </c>
      <c r="J258">
        <f t="shared" ca="1" si="28"/>
        <v>100.01315365739713</v>
      </c>
      <c r="K258">
        <f t="shared" ca="1" si="29"/>
        <v>56.923586322010607</v>
      </c>
    </row>
    <row r="259" spans="1:11" x14ac:dyDescent="0.3">
      <c r="A259" t="s">
        <v>54</v>
      </c>
      <c r="B259">
        <v>8</v>
      </c>
      <c r="C259">
        <v>440980</v>
      </c>
      <c r="D259">
        <v>441083</v>
      </c>
      <c r="E259">
        <v>441326</v>
      </c>
      <c r="F259">
        <v>441131</v>
      </c>
      <c r="G259">
        <f t="shared" ref="G259:G301" ca="1" si="35">MIN(INDIRECT("C" &amp; (10*INT((ROW()-2)/10)+2) &amp; ":F" &amp; (10*INT((ROW()-2)/10)+11)))</f>
        <v>440942</v>
      </c>
      <c r="H259">
        <f t="shared" ref="H259:H301" ca="1" si="36">(C259-OFFSET($G$2, 10*INT((ROW()-2)/10), 0))/OFFSET($G$2, 10*INT((ROW()-2)/10), 0)*100*1000</f>
        <v>8.6179134670773028</v>
      </c>
      <c r="I259">
        <f t="shared" ref="I259:I301" ca="1" si="37">(D259-OFFSET($G$2, 10*INT((ROW()-2)/10), 0))/OFFSET($G$2, 10*INT((ROW()-2)/10), 0)*100*1000</f>
        <v>31.976994706786833</v>
      </c>
      <c r="J259">
        <f t="shared" ref="J259:J301" ca="1" si="38">(E259-OFFSET($G$2, 10*INT((ROW()-2)/10), 0))/OFFSET($G$2, 10*INT((ROW()-2)/10), 0)*100*1000</f>
        <v>87.086283456781175</v>
      </c>
      <c r="K259">
        <f t="shared" ref="K259:K301" ca="1" si="39">(F259-OFFSET($G$2, 10*INT((ROW()-2)/10), 0))/OFFSET($G$2, 10*INT((ROW()-2)/10), 0)*100*1000</f>
        <v>42.862780138884474</v>
      </c>
    </row>
    <row r="260" spans="1:11" x14ac:dyDescent="0.3">
      <c r="A260" t="s">
        <v>54</v>
      </c>
      <c r="B260">
        <v>9</v>
      </c>
      <c r="C260">
        <v>441045</v>
      </c>
      <c r="D260">
        <v>441020</v>
      </c>
      <c r="E260">
        <v>441412</v>
      </c>
      <c r="F260">
        <v>441246</v>
      </c>
      <c r="G260">
        <f t="shared" ca="1" si="35"/>
        <v>440942</v>
      </c>
      <c r="H260">
        <f t="shared" ca="1" si="36"/>
        <v>23.359081239709532</v>
      </c>
      <c r="I260">
        <f t="shared" ca="1" si="37"/>
        <v>17.689401327158677</v>
      </c>
      <c r="J260">
        <f t="shared" ca="1" si="38"/>
        <v>106.58998235595612</v>
      </c>
      <c r="K260">
        <f t="shared" ca="1" si="39"/>
        <v>68.943307736618422</v>
      </c>
    </row>
    <row r="261" spans="1:11" x14ac:dyDescent="0.3">
      <c r="A261" t="s">
        <v>54</v>
      </c>
      <c r="B261">
        <v>10</v>
      </c>
      <c r="C261">
        <v>441003</v>
      </c>
      <c r="D261">
        <v>441036</v>
      </c>
      <c r="E261">
        <v>441531</v>
      </c>
      <c r="F261">
        <v>441132</v>
      </c>
      <c r="G261">
        <f t="shared" ca="1" si="35"/>
        <v>440942</v>
      </c>
      <c r="H261">
        <f t="shared" ca="1" si="36"/>
        <v>13.834018986624089</v>
      </c>
      <c r="I261">
        <f t="shared" ca="1" si="37"/>
        <v>21.317996471191222</v>
      </c>
      <c r="J261">
        <f t="shared" ca="1" si="38"/>
        <v>133.57765873969817</v>
      </c>
      <c r="K261">
        <f t="shared" ca="1" si="39"/>
        <v>43.089567335386512</v>
      </c>
    </row>
    <row r="262" spans="1:11" x14ac:dyDescent="0.3">
      <c r="A262" t="s">
        <v>72</v>
      </c>
      <c r="B262">
        <v>1</v>
      </c>
      <c r="C262">
        <v>410752</v>
      </c>
      <c r="D262">
        <v>410849</v>
      </c>
      <c r="E262">
        <v>410912</v>
      </c>
      <c r="F262">
        <v>410830</v>
      </c>
      <c r="G262">
        <f t="shared" ca="1" si="35"/>
        <v>410726</v>
      </c>
      <c r="H262">
        <f t="shared" ca="1" si="36"/>
        <v>6.3302542327488407</v>
      </c>
      <c r="I262">
        <f t="shared" ca="1" si="37"/>
        <v>29.946971947234893</v>
      </c>
      <c r="J262">
        <f t="shared" ca="1" si="38"/>
        <v>45.285664895818627</v>
      </c>
      <c r="K262">
        <f t="shared" ca="1" si="39"/>
        <v>25.321016930995363</v>
      </c>
    </row>
    <row r="263" spans="1:11" x14ac:dyDescent="0.3">
      <c r="A263" t="s">
        <v>72</v>
      </c>
      <c r="B263">
        <v>2</v>
      </c>
      <c r="C263">
        <v>410767</v>
      </c>
      <c r="D263">
        <v>410812</v>
      </c>
      <c r="E263">
        <v>410887</v>
      </c>
      <c r="F263">
        <v>410848</v>
      </c>
      <c r="G263">
        <f t="shared" ca="1" si="35"/>
        <v>410726</v>
      </c>
      <c r="H263">
        <f t="shared" ca="1" si="36"/>
        <v>9.9823239824116321</v>
      </c>
      <c r="I263">
        <f t="shared" ca="1" si="37"/>
        <v>20.938533231400008</v>
      </c>
      <c r="J263">
        <f t="shared" ca="1" si="38"/>
        <v>39.198881979713967</v>
      </c>
      <c r="K263">
        <f t="shared" ca="1" si="39"/>
        <v>29.70350063059071</v>
      </c>
    </row>
    <row r="264" spans="1:11" x14ac:dyDescent="0.3">
      <c r="A264" t="s">
        <v>18</v>
      </c>
      <c r="B264">
        <v>3</v>
      </c>
      <c r="C264">
        <v>410780</v>
      </c>
      <c r="D264">
        <v>410858</v>
      </c>
      <c r="E264">
        <v>410880</v>
      </c>
      <c r="F264">
        <v>410823</v>
      </c>
      <c r="G264">
        <f t="shared" ca="1" si="35"/>
        <v>410726</v>
      </c>
      <c r="H264">
        <f t="shared" ca="1" si="36"/>
        <v>13.147451098786053</v>
      </c>
      <c r="I264">
        <f t="shared" ca="1" si="37"/>
        <v>32.13821379703257</v>
      </c>
      <c r="J264">
        <f t="shared" ca="1" si="38"/>
        <v>37.494582763204662</v>
      </c>
      <c r="K264">
        <f t="shared" ca="1" si="39"/>
        <v>23.616717714486057</v>
      </c>
    </row>
    <row r="265" spans="1:11" x14ac:dyDescent="0.3">
      <c r="A265" t="s">
        <v>18</v>
      </c>
      <c r="B265">
        <v>4</v>
      </c>
      <c r="C265">
        <v>410726</v>
      </c>
      <c r="D265">
        <v>410847</v>
      </c>
      <c r="E265">
        <v>410945</v>
      </c>
      <c r="F265">
        <v>410822</v>
      </c>
      <c r="G265">
        <f t="shared" ca="1" si="35"/>
        <v>410726</v>
      </c>
      <c r="H265">
        <f t="shared" ca="1" si="36"/>
        <v>0</v>
      </c>
      <c r="I265">
        <f t="shared" ca="1" si="37"/>
        <v>29.460029313946524</v>
      </c>
      <c r="J265">
        <f t="shared" ca="1" si="38"/>
        <v>53.320218345076768</v>
      </c>
      <c r="K265">
        <f t="shared" ca="1" si="39"/>
        <v>23.373246397841871</v>
      </c>
    </row>
    <row r="266" spans="1:11" x14ac:dyDescent="0.3">
      <c r="A266" t="s">
        <v>18</v>
      </c>
      <c r="B266">
        <v>5</v>
      </c>
      <c r="C266">
        <v>410778</v>
      </c>
      <c r="D266">
        <v>410835</v>
      </c>
      <c r="E266">
        <v>410975</v>
      </c>
      <c r="F266">
        <v>410858</v>
      </c>
      <c r="G266">
        <f t="shared" ca="1" si="35"/>
        <v>410726</v>
      </c>
      <c r="H266">
        <f t="shared" ca="1" si="36"/>
        <v>12.660508465497681</v>
      </c>
      <c r="I266">
        <f t="shared" ca="1" si="37"/>
        <v>26.538373514216293</v>
      </c>
      <c r="J266">
        <f t="shared" ca="1" si="38"/>
        <v>60.624357844402347</v>
      </c>
      <c r="K266">
        <f t="shared" ca="1" si="39"/>
        <v>32.13821379703257</v>
      </c>
    </row>
    <row r="267" spans="1:11" x14ac:dyDescent="0.3">
      <c r="A267" t="s">
        <v>18</v>
      </c>
      <c r="B267">
        <v>6</v>
      </c>
      <c r="C267">
        <v>410747</v>
      </c>
      <c r="D267">
        <v>410845</v>
      </c>
      <c r="E267">
        <v>410899</v>
      </c>
      <c r="F267">
        <v>410828</v>
      </c>
      <c r="G267">
        <f t="shared" ca="1" si="35"/>
        <v>410726</v>
      </c>
      <c r="H267">
        <f t="shared" ca="1" si="36"/>
        <v>5.112897649527909</v>
      </c>
      <c r="I267">
        <f t="shared" ca="1" si="37"/>
        <v>28.973086680658149</v>
      </c>
      <c r="J267">
        <f t="shared" ca="1" si="38"/>
        <v>42.120537779444206</v>
      </c>
      <c r="K267">
        <f t="shared" ca="1" si="39"/>
        <v>24.834074297706987</v>
      </c>
    </row>
    <row r="268" spans="1:11" x14ac:dyDescent="0.3">
      <c r="A268" t="s">
        <v>18</v>
      </c>
      <c r="B268">
        <v>7</v>
      </c>
      <c r="C268">
        <v>410820</v>
      </c>
      <c r="D268">
        <v>410837</v>
      </c>
      <c r="E268">
        <v>410957</v>
      </c>
      <c r="F268">
        <v>410833</v>
      </c>
      <c r="G268">
        <f t="shared" ca="1" si="35"/>
        <v>410726</v>
      </c>
      <c r="H268">
        <f t="shared" ca="1" si="36"/>
        <v>22.886303764553496</v>
      </c>
      <c r="I268">
        <f t="shared" ca="1" si="37"/>
        <v>27.025316147504661</v>
      </c>
      <c r="J268">
        <f t="shared" ca="1" si="38"/>
        <v>56.241874144807007</v>
      </c>
      <c r="K268">
        <f t="shared" ca="1" si="39"/>
        <v>26.051430880927917</v>
      </c>
    </row>
    <row r="269" spans="1:11" x14ac:dyDescent="0.3">
      <c r="A269" t="s">
        <v>18</v>
      </c>
      <c r="B269">
        <v>8</v>
      </c>
      <c r="C269">
        <v>410749</v>
      </c>
      <c r="D269">
        <v>410848</v>
      </c>
      <c r="E269">
        <v>410899</v>
      </c>
      <c r="F269">
        <v>410815</v>
      </c>
      <c r="G269">
        <f t="shared" ca="1" si="35"/>
        <v>410726</v>
      </c>
      <c r="H269">
        <f t="shared" ca="1" si="36"/>
        <v>5.5998402828162819</v>
      </c>
      <c r="I269">
        <f t="shared" ca="1" si="37"/>
        <v>29.70350063059071</v>
      </c>
      <c r="J269">
        <f t="shared" ca="1" si="38"/>
        <v>42.120537779444206</v>
      </c>
      <c r="K269">
        <f t="shared" ca="1" si="39"/>
        <v>21.66894718133257</v>
      </c>
    </row>
    <row r="270" spans="1:11" x14ac:dyDescent="0.3">
      <c r="A270" t="s">
        <v>18</v>
      </c>
      <c r="B270">
        <v>9</v>
      </c>
      <c r="C270">
        <v>410756</v>
      </c>
      <c r="D270">
        <v>410871</v>
      </c>
      <c r="E270">
        <v>410892</v>
      </c>
      <c r="F270">
        <v>410776</v>
      </c>
      <c r="G270">
        <f t="shared" ca="1" si="35"/>
        <v>410726</v>
      </c>
      <c r="H270">
        <f t="shared" ca="1" si="36"/>
        <v>7.3041394993255846</v>
      </c>
      <c r="I270">
        <f t="shared" ca="1" si="37"/>
        <v>35.303340913406991</v>
      </c>
      <c r="J270">
        <f t="shared" ca="1" si="38"/>
        <v>40.4162385629349</v>
      </c>
      <c r="K270">
        <f t="shared" ca="1" si="39"/>
        <v>12.173565832209308</v>
      </c>
    </row>
    <row r="271" spans="1:11" x14ac:dyDescent="0.3">
      <c r="A271" t="s">
        <v>18</v>
      </c>
      <c r="B271">
        <v>10</v>
      </c>
      <c r="C271">
        <v>410842</v>
      </c>
      <c r="D271">
        <v>410842</v>
      </c>
      <c r="E271">
        <v>410970</v>
      </c>
      <c r="F271">
        <v>410838</v>
      </c>
      <c r="G271">
        <f t="shared" ca="1" si="35"/>
        <v>410726</v>
      </c>
      <c r="H271">
        <f t="shared" ca="1" si="36"/>
        <v>28.242672730725594</v>
      </c>
      <c r="I271">
        <f t="shared" ca="1" si="37"/>
        <v>28.242672730725594</v>
      </c>
      <c r="J271">
        <f t="shared" ca="1" si="38"/>
        <v>59.407001261181421</v>
      </c>
      <c r="K271">
        <f t="shared" ca="1" si="39"/>
        <v>27.268787464148851</v>
      </c>
    </row>
    <row r="272" spans="1:11" x14ac:dyDescent="0.3">
      <c r="A272" t="s">
        <v>73</v>
      </c>
      <c r="B272">
        <v>1</v>
      </c>
      <c r="C272">
        <v>451285</v>
      </c>
      <c r="D272">
        <v>451236</v>
      </c>
      <c r="E272">
        <v>451294</v>
      </c>
      <c r="F272">
        <v>451229</v>
      </c>
      <c r="G272">
        <f t="shared" ca="1" si="35"/>
        <v>451011</v>
      </c>
      <c r="H272">
        <f t="shared" ca="1" si="36"/>
        <v>60.752398500258309</v>
      </c>
      <c r="I272">
        <f t="shared" ca="1" si="37"/>
        <v>49.887918476489482</v>
      </c>
      <c r="J272">
        <f t="shared" ca="1" si="38"/>
        <v>62.747915239317884</v>
      </c>
      <c r="K272">
        <f t="shared" ca="1" si="39"/>
        <v>48.335849901665377</v>
      </c>
    </row>
    <row r="273" spans="1:11" x14ac:dyDescent="0.3">
      <c r="A273" t="s">
        <v>73</v>
      </c>
      <c r="B273">
        <v>2</v>
      </c>
      <c r="C273">
        <v>451181</v>
      </c>
      <c r="D273">
        <v>451217</v>
      </c>
      <c r="E273">
        <v>451315</v>
      </c>
      <c r="F273">
        <v>451232</v>
      </c>
      <c r="G273">
        <f t="shared" ca="1" si="35"/>
        <v>451011</v>
      </c>
      <c r="H273">
        <f t="shared" ca="1" si="36"/>
        <v>37.693093960014281</v>
      </c>
      <c r="I273">
        <f t="shared" ca="1" si="37"/>
        <v>45.675160916252594</v>
      </c>
      <c r="J273">
        <f t="shared" ca="1" si="38"/>
        <v>67.404120963790234</v>
      </c>
      <c r="K273">
        <f t="shared" ca="1" si="39"/>
        <v>49.001022148018571</v>
      </c>
    </row>
    <row r="274" spans="1:11" x14ac:dyDescent="0.3">
      <c r="A274" t="s">
        <v>19</v>
      </c>
      <c r="B274">
        <v>3</v>
      </c>
      <c r="C274">
        <v>451018</v>
      </c>
      <c r="D274">
        <v>451195</v>
      </c>
      <c r="E274">
        <v>451276</v>
      </c>
      <c r="F274">
        <v>451208</v>
      </c>
      <c r="G274">
        <f t="shared" ca="1" si="35"/>
        <v>451011</v>
      </c>
      <c r="H274">
        <f t="shared" ca="1" si="36"/>
        <v>1.5520685748241176</v>
      </c>
      <c r="I274">
        <f t="shared" ca="1" si="37"/>
        <v>40.797231109662512</v>
      </c>
      <c r="J274">
        <f t="shared" ca="1" si="38"/>
        <v>58.756881761198727</v>
      </c>
      <c r="K274">
        <f t="shared" ca="1" si="39"/>
        <v>43.679644177193012</v>
      </c>
    </row>
    <row r="275" spans="1:11" x14ac:dyDescent="0.3">
      <c r="A275" t="s">
        <v>19</v>
      </c>
      <c r="B275">
        <v>4</v>
      </c>
      <c r="C275">
        <v>451304</v>
      </c>
      <c r="D275">
        <v>451201</v>
      </c>
      <c r="E275">
        <v>451407</v>
      </c>
      <c r="F275">
        <v>451194</v>
      </c>
      <c r="G275">
        <f t="shared" ca="1" si="35"/>
        <v>451011</v>
      </c>
      <c r="H275">
        <f t="shared" ca="1" si="36"/>
        <v>64.965156060495204</v>
      </c>
      <c r="I275">
        <f t="shared" ca="1" si="37"/>
        <v>42.1275756023689</v>
      </c>
      <c r="J275">
        <f t="shared" ca="1" si="38"/>
        <v>87.802736518621501</v>
      </c>
      <c r="K275">
        <f t="shared" ca="1" si="39"/>
        <v>40.575507027544781</v>
      </c>
    </row>
    <row r="276" spans="1:11" x14ac:dyDescent="0.3">
      <c r="A276" t="s">
        <v>19</v>
      </c>
      <c r="B276">
        <v>5</v>
      </c>
      <c r="C276">
        <v>451070</v>
      </c>
      <c r="D276">
        <v>451248</v>
      </c>
      <c r="E276">
        <v>451337</v>
      </c>
      <c r="F276">
        <v>451152</v>
      </c>
      <c r="G276">
        <f t="shared" ca="1" si="35"/>
        <v>451011</v>
      </c>
      <c r="H276">
        <f t="shared" ca="1" si="36"/>
        <v>13.08172084494613</v>
      </c>
      <c r="I276">
        <f t="shared" ca="1" si="37"/>
        <v>52.548607461902257</v>
      </c>
      <c r="J276">
        <f t="shared" ca="1" si="38"/>
        <v>72.282050770380323</v>
      </c>
      <c r="K276">
        <f t="shared" ca="1" si="39"/>
        <v>31.263095578600083</v>
      </c>
    </row>
    <row r="277" spans="1:11" x14ac:dyDescent="0.3">
      <c r="A277" t="s">
        <v>19</v>
      </c>
      <c r="B277">
        <v>6</v>
      </c>
      <c r="C277">
        <v>451085</v>
      </c>
      <c r="D277">
        <v>451181</v>
      </c>
      <c r="E277">
        <v>451247</v>
      </c>
      <c r="F277">
        <v>451254</v>
      </c>
      <c r="G277">
        <f t="shared" ca="1" si="35"/>
        <v>451011</v>
      </c>
      <c r="H277">
        <f t="shared" ca="1" si="36"/>
        <v>16.407582076712099</v>
      </c>
      <c r="I277">
        <f t="shared" ca="1" si="37"/>
        <v>37.693093960014281</v>
      </c>
      <c r="J277">
        <f t="shared" ca="1" si="38"/>
        <v>52.326883379784519</v>
      </c>
      <c r="K277">
        <f t="shared" ca="1" si="39"/>
        <v>53.878951954608652</v>
      </c>
    </row>
    <row r="278" spans="1:11" x14ac:dyDescent="0.3">
      <c r="A278" t="s">
        <v>19</v>
      </c>
      <c r="B278">
        <v>7</v>
      </c>
      <c r="C278">
        <v>451156</v>
      </c>
      <c r="D278">
        <v>451192</v>
      </c>
      <c r="E278">
        <v>451376</v>
      </c>
      <c r="F278">
        <v>451178</v>
      </c>
      <c r="G278">
        <f t="shared" ca="1" si="35"/>
        <v>451011</v>
      </c>
      <c r="H278">
        <f t="shared" ca="1" si="36"/>
        <v>32.149991907071005</v>
      </c>
      <c r="I278">
        <f t="shared" ca="1" si="37"/>
        <v>40.132058863309318</v>
      </c>
      <c r="J278">
        <f t="shared" ca="1" si="38"/>
        <v>80.92928997297183</v>
      </c>
      <c r="K278">
        <f t="shared" ca="1" si="39"/>
        <v>37.027921713661087</v>
      </c>
    </row>
    <row r="279" spans="1:11" x14ac:dyDescent="0.3">
      <c r="A279" t="s">
        <v>19</v>
      </c>
      <c r="B279">
        <v>8</v>
      </c>
      <c r="C279">
        <v>451309</v>
      </c>
      <c r="D279">
        <v>451160</v>
      </c>
      <c r="E279">
        <v>451359</v>
      </c>
      <c r="F279">
        <v>451324</v>
      </c>
      <c r="G279">
        <f t="shared" ca="1" si="35"/>
        <v>451011</v>
      </c>
      <c r="H279">
        <f t="shared" ca="1" si="36"/>
        <v>66.073776471083846</v>
      </c>
      <c r="I279">
        <f t="shared" ca="1" si="37"/>
        <v>33.036888235541923</v>
      </c>
      <c r="J279">
        <f t="shared" ca="1" si="38"/>
        <v>77.159980576970412</v>
      </c>
      <c r="K279">
        <f t="shared" ca="1" si="39"/>
        <v>69.399637702849816</v>
      </c>
    </row>
    <row r="280" spans="1:11" x14ac:dyDescent="0.3">
      <c r="A280" t="s">
        <v>19</v>
      </c>
      <c r="B280">
        <v>9</v>
      </c>
      <c r="C280">
        <v>451011</v>
      </c>
      <c r="D280">
        <v>451178</v>
      </c>
      <c r="E280">
        <v>451283</v>
      </c>
      <c r="F280">
        <v>451267</v>
      </c>
      <c r="G280">
        <f t="shared" ca="1" si="35"/>
        <v>451011</v>
      </c>
      <c r="H280">
        <f t="shared" ca="1" si="36"/>
        <v>0</v>
      </c>
      <c r="I280">
        <f t="shared" ca="1" si="37"/>
        <v>37.027921713661087</v>
      </c>
      <c r="J280">
        <f t="shared" ca="1" si="38"/>
        <v>60.308950336022846</v>
      </c>
      <c r="K280">
        <f t="shared" ca="1" si="39"/>
        <v>56.761365022139152</v>
      </c>
    </row>
    <row r="281" spans="1:11" x14ac:dyDescent="0.3">
      <c r="A281" t="s">
        <v>19</v>
      </c>
      <c r="B281">
        <v>10</v>
      </c>
      <c r="C281">
        <v>451125</v>
      </c>
      <c r="D281">
        <v>451231</v>
      </c>
      <c r="E281">
        <v>451284</v>
      </c>
      <c r="F281">
        <v>451193</v>
      </c>
      <c r="G281">
        <f t="shared" ca="1" si="35"/>
        <v>451011</v>
      </c>
      <c r="H281">
        <f t="shared" ca="1" si="36"/>
        <v>25.276545361421341</v>
      </c>
      <c r="I281">
        <f t="shared" ca="1" si="37"/>
        <v>48.779298065900832</v>
      </c>
      <c r="J281">
        <f t="shared" ca="1" si="38"/>
        <v>60.530674418140578</v>
      </c>
      <c r="K281">
        <f t="shared" ca="1" si="39"/>
        <v>40.353782945427049</v>
      </c>
    </row>
    <row r="282" spans="1:11" x14ac:dyDescent="0.3">
      <c r="A282" t="s">
        <v>74</v>
      </c>
      <c r="B282">
        <v>1</v>
      </c>
      <c r="C282">
        <v>421211</v>
      </c>
      <c r="D282">
        <v>421312</v>
      </c>
      <c r="E282">
        <v>421499</v>
      </c>
      <c r="F282">
        <v>421564</v>
      </c>
      <c r="G282">
        <f t="shared" ca="1" si="35"/>
        <v>421178</v>
      </c>
      <c r="H282">
        <f t="shared" ca="1" si="36"/>
        <v>7.8351670790022272</v>
      </c>
      <c r="I282">
        <f t="shared" ca="1" si="37"/>
        <v>31.815526926857533</v>
      </c>
      <c r="J282">
        <f t="shared" ca="1" si="38"/>
        <v>76.214807041203485</v>
      </c>
      <c r="K282">
        <f t="shared" ca="1" si="39"/>
        <v>91.647711893783622</v>
      </c>
    </row>
    <row r="283" spans="1:11" x14ac:dyDescent="0.3">
      <c r="A283" t="s">
        <v>74</v>
      </c>
      <c r="B283">
        <v>2</v>
      </c>
      <c r="C283">
        <v>421235</v>
      </c>
      <c r="D283">
        <v>421319</v>
      </c>
      <c r="E283">
        <v>421418</v>
      </c>
      <c r="F283">
        <v>421296</v>
      </c>
      <c r="G283">
        <f t="shared" ca="1" si="35"/>
        <v>421178</v>
      </c>
      <c r="H283">
        <f t="shared" ca="1" si="36"/>
        <v>13.533470409185664</v>
      </c>
      <c r="I283">
        <f t="shared" ca="1" si="37"/>
        <v>33.477532064827699</v>
      </c>
      <c r="J283">
        <f t="shared" ca="1" si="38"/>
        <v>56.983033301834382</v>
      </c>
      <c r="K283">
        <f t="shared" ca="1" si="39"/>
        <v>28.016658040068567</v>
      </c>
    </row>
    <row r="284" spans="1:11" x14ac:dyDescent="0.3">
      <c r="A284" t="s">
        <v>20</v>
      </c>
      <c r="B284">
        <v>3</v>
      </c>
      <c r="C284">
        <v>421188</v>
      </c>
      <c r="D284">
        <v>421290</v>
      </c>
      <c r="E284">
        <v>421564</v>
      </c>
      <c r="F284">
        <v>421361</v>
      </c>
      <c r="G284">
        <f t="shared" ca="1" si="35"/>
        <v>421178</v>
      </c>
      <c r="H284">
        <f t="shared" ca="1" si="36"/>
        <v>2.3742930542430991</v>
      </c>
      <c r="I284">
        <f t="shared" ca="1" si="37"/>
        <v>26.592082207522711</v>
      </c>
      <c r="J284">
        <f t="shared" ca="1" si="38"/>
        <v>91.647711893783622</v>
      </c>
      <c r="K284">
        <f t="shared" ca="1" si="39"/>
        <v>43.449562892648714</v>
      </c>
    </row>
    <row r="285" spans="1:11" x14ac:dyDescent="0.3">
      <c r="A285" t="s">
        <v>20</v>
      </c>
      <c r="B285">
        <v>4</v>
      </c>
      <c r="C285">
        <v>421178</v>
      </c>
      <c r="D285">
        <v>421313</v>
      </c>
      <c r="E285">
        <v>421439</v>
      </c>
      <c r="F285">
        <v>421403</v>
      </c>
      <c r="G285">
        <f t="shared" ca="1" si="35"/>
        <v>421178</v>
      </c>
      <c r="H285">
        <f t="shared" ca="1" si="36"/>
        <v>0</v>
      </c>
      <c r="I285">
        <f t="shared" ca="1" si="37"/>
        <v>32.052956232281836</v>
      </c>
      <c r="J285">
        <f t="shared" ca="1" si="38"/>
        <v>61.969048715744876</v>
      </c>
      <c r="K285">
        <f t="shared" ca="1" si="39"/>
        <v>53.42159372046973</v>
      </c>
    </row>
    <row r="286" spans="1:11" x14ac:dyDescent="0.3">
      <c r="A286" t="s">
        <v>20</v>
      </c>
      <c r="B286">
        <v>5</v>
      </c>
      <c r="C286">
        <v>421335</v>
      </c>
      <c r="D286">
        <v>421415</v>
      </c>
      <c r="E286">
        <v>421467</v>
      </c>
      <c r="F286">
        <v>421489</v>
      </c>
      <c r="G286">
        <f t="shared" ca="1" si="35"/>
        <v>421178</v>
      </c>
      <c r="H286">
        <f t="shared" ca="1" si="36"/>
        <v>37.276400951616658</v>
      </c>
      <c r="I286">
        <f t="shared" ca="1" si="37"/>
        <v>56.270745385561455</v>
      </c>
      <c r="J286">
        <f t="shared" ca="1" si="38"/>
        <v>68.617069267625567</v>
      </c>
      <c r="K286">
        <f t="shared" ca="1" si="39"/>
        <v>73.840513986960374</v>
      </c>
    </row>
    <row r="287" spans="1:11" x14ac:dyDescent="0.3">
      <c r="A287" t="s">
        <v>20</v>
      </c>
      <c r="B287">
        <v>6</v>
      </c>
      <c r="C287">
        <v>421246</v>
      </c>
      <c r="D287">
        <v>421365</v>
      </c>
      <c r="E287">
        <v>421518</v>
      </c>
      <c r="F287">
        <v>421413</v>
      </c>
      <c r="G287">
        <f t="shared" ca="1" si="35"/>
        <v>421178</v>
      </c>
      <c r="H287">
        <f t="shared" ca="1" si="36"/>
        <v>16.145192768853075</v>
      </c>
      <c r="I287">
        <f t="shared" ca="1" si="37"/>
        <v>44.399280114345956</v>
      </c>
      <c r="J287">
        <f t="shared" ca="1" si="38"/>
        <v>80.72596384426538</v>
      </c>
      <c r="K287">
        <f t="shared" ca="1" si="39"/>
        <v>55.795886774712827</v>
      </c>
    </row>
    <row r="288" spans="1:11" x14ac:dyDescent="0.3">
      <c r="A288" t="s">
        <v>20</v>
      </c>
      <c r="B288">
        <v>7</v>
      </c>
      <c r="C288">
        <v>421297</v>
      </c>
      <c r="D288">
        <v>421377</v>
      </c>
      <c r="E288">
        <v>421456</v>
      </c>
      <c r="F288">
        <v>421374</v>
      </c>
      <c r="G288">
        <f t="shared" ca="1" si="35"/>
        <v>421178</v>
      </c>
      <c r="H288">
        <f t="shared" ca="1" si="36"/>
        <v>28.254087345492877</v>
      </c>
      <c r="I288">
        <f t="shared" ca="1" si="37"/>
        <v>47.248431779437666</v>
      </c>
      <c r="J288">
        <f t="shared" ca="1" si="38"/>
        <v>66.005346907958156</v>
      </c>
      <c r="K288">
        <f t="shared" ca="1" si="39"/>
        <v>46.536143863164746</v>
      </c>
    </row>
    <row r="289" spans="1:11" x14ac:dyDescent="0.3">
      <c r="A289" t="s">
        <v>20</v>
      </c>
      <c r="B289">
        <v>8</v>
      </c>
      <c r="C289">
        <v>421258</v>
      </c>
      <c r="D289">
        <v>421331</v>
      </c>
      <c r="E289">
        <v>421407</v>
      </c>
      <c r="F289">
        <v>421320</v>
      </c>
      <c r="G289">
        <f t="shared" ca="1" si="35"/>
        <v>421178</v>
      </c>
      <c r="H289">
        <f t="shared" ca="1" si="36"/>
        <v>18.994344433944793</v>
      </c>
      <c r="I289">
        <f t="shared" ca="1" si="37"/>
        <v>36.326683729919417</v>
      </c>
      <c r="J289">
        <f t="shared" ca="1" si="38"/>
        <v>54.371310942166971</v>
      </c>
      <c r="K289">
        <f t="shared" ca="1" si="39"/>
        <v>33.714961370252013</v>
      </c>
    </row>
    <row r="290" spans="1:11" x14ac:dyDescent="0.3">
      <c r="A290" t="s">
        <v>20</v>
      </c>
      <c r="B290">
        <v>9</v>
      </c>
      <c r="C290">
        <v>421291</v>
      </c>
      <c r="D290">
        <v>421283</v>
      </c>
      <c r="E290">
        <v>421445</v>
      </c>
      <c r="F290">
        <v>421418</v>
      </c>
      <c r="G290">
        <f t="shared" ca="1" si="35"/>
        <v>421178</v>
      </c>
      <c r="H290">
        <f t="shared" ca="1" si="36"/>
        <v>26.829511512947018</v>
      </c>
      <c r="I290">
        <f t="shared" ca="1" si="37"/>
        <v>24.930077069552539</v>
      </c>
      <c r="J290">
        <f t="shared" ca="1" si="38"/>
        <v>63.393624548290745</v>
      </c>
      <c r="K290">
        <f t="shared" ca="1" si="39"/>
        <v>56.983033301834382</v>
      </c>
    </row>
    <row r="291" spans="1:11" x14ac:dyDescent="0.3">
      <c r="A291" t="s">
        <v>20</v>
      </c>
      <c r="B291">
        <v>10</v>
      </c>
      <c r="C291">
        <v>421309</v>
      </c>
      <c r="D291">
        <v>421365</v>
      </c>
      <c r="E291">
        <v>421507</v>
      </c>
      <c r="F291">
        <v>421327</v>
      </c>
      <c r="G291">
        <f t="shared" ca="1" si="35"/>
        <v>421178</v>
      </c>
      <c r="H291">
        <f t="shared" ca="1" si="36"/>
        <v>31.103239010584602</v>
      </c>
      <c r="I291">
        <f t="shared" ca="1" si="37"/>
        <v>44.399280114345956</v>
      </c>
      <c r="J291">
        <f t="shared" ca="1" si="38"/>
        <v>78.114241484597954</v>
      </c>
      <c r="K291">
        <f t="shared" ca="1" si="39"/>
        <v>35.376966508222175</v>
      </c>
    </row>
    <row r="292" spans="1:11" x14ac:dyDescent="0.3">
      <c r="A292" t="s">
        <v>75</v>
      </c>
      <c r="B292">
        <v>1</v>
      </c>
      <c r="C292">
        <v>371488</v>
      </c>
      <c r="D292">
        <v>371423</v>
      </c>
      <c r="E292">
        <v>371758</v>
      </c>
      <c r="F292">
        <v>371625</v>
      </c>
      <c r="G292">
        <f t="shared" ca="1" si="35"/>
        <v>371390</v>
      </c>
      <c r="H292">
        <f t="shared" ca="1" si="36"/>
        <v>26.387355610005656</v>
      </c>
      <c r="I292">
        <f t="shared" ca="1" si="37"/>
        <v>8.8855381135733325</v>
      </c>
      <c r="J292">
        <f t="shared" ca="1" si="38"/>
        <v>99.087212902878377</v>
      </c>
      <c r="K292">
        <f t="shared" ca="1" si="39"/>
        <v>63.275801717870699</v>
      </c>
    </row>
    <row r="293" spans="1:11" x14ac:dyDescent="0.3">
      <c r="A293" t="s">
        <v>75</v>
      </c>
      <c r="B293">
        <v>2</v>
      </c>
      <c r="C293">
        <v>371457</v>
      </c>
      <c r="D293">
        <v>371558</v>
      </c>
      <c r="E293">
        <v>371665</v>
      </c>
      <c r="F293">
        <v>371538</v>
      </c>
      <c r="G293">
        <f t="shared" ca="1" si="35"/>
        <v>371390</v>
      </c>
      <c r="H293">
        <f t="shared" ca="1" si="36"/>
        <v>18.040334957861006</v>
      </c>
      <c r="I293">
        <f t="shared" ca="1" si="37"/>
        <v>45.235466760009686</v>
      </c>
      <c r="J293">
        <f t="shared" ca="1" si="38"/>
        <v>74.046150946444442</v>
      </c>
      <c r="K293">
        <f t="shared" ca="1" si="39"/>
        <v>39.850292145722825</v>
      </c>
    </row>
    <row r="294" spans="1:11" x14ac:dyDescent="0.3">
      <c r="A294" t="s">
        <v>21</v>
      </c>
      <c r="B294">
        <v>3</v>
      </c>
      <c r="C294">
        <v>371432</v>
      </c>
      <c r="D294">
        <v>371436</v>
      </c>
      <c r="E294">
        <v>371760</v>
      </c>
      <c r="F294">
        <v>371513</v>
      </c>
      <c r="G294">
        <f t="shared" ca="1" si="35"/>
        <v>371390</v>
      </c>
      <c r="H294">
        <f t="shared" ca="1" si="36"/>
        <v>11.308866690002422</v>
      </c>
      <c r="I294">
        <f t="shared" ca="1" si="37"/>
        <v>12.385901612859797</v>
      </c>
      <c r="J294">
        <f t="shared" ca="1" si="38"/>
        <v>99.62573036430706</v>
      </c>
      <c r="K294">
        <f t="shared" ca="1" si="39"/>
        <v>33.118823877864244</v>
      </c>
    </row>
    <row r="295" spans="1:11" x14ac:dyDescent="0.3">
      <c r="A295" t="s">
        <v>21</v>
      </c>
      <c r="B295">
        <v>4</v>
      </c>
      <c r="C295">
        <v>371499</v>
      </c>
      <c r="D295">
        <v>371421</v>
      </c>
      <c r="E295">
        <v>371696</v>
      </c>
      <c r="F295">
        <v>371637</v>
      </c>
      <c r="G295">
        <f t="shared" ca="1" si="35"/>
        <v>371390</v>
      </c>
      <c r="H295">
        <f t="shared" ca="1" si="36"/>
        <v>29.349201647863435</v>
      </c>
      <c r="I295">
        <f t="shared" ca="1" si="37"/>
        <v>8.3470206521446464</v>
      </c>
      <c r="J295">
        <f t="shared" ca="1" si="38"/>
        <v>82.393171598589078</v>
      </c>
      <c r="K295">
        <f t="shared" ca="1" si="39"/>
        <v>66.506906486442816</v>
      </c>
    </row>
    <row r="296" spans="1:11" x14ac:dyDescent="0.3">
      <c r="A296" t="s">
        <v>21</v>
      </c>
      <c r="B296">
        <v>5</v>
      </c>
      <c r="C296">
        <v>371459</v>
      </c>
      <c r="D296">
        <v>371459</v>
      </c>
      <c r="E296">
        <v>371700</v>
      </c>
      <c r="F296">
        <v>371566</v>
      </c>
      <c r="G296">
        <f t="shared" ca="1" si="35"/>
        <v>371390</v>
      </c>
      <c r="H296">
        <f t="shared" ca="1" si="36"/>
        <v>18.578852419289696</v>
      </c>
      <c r="I296">
        <f t="shared" ca="1" si="37"/>
        <v>18.578852419289696</v>
      </c>
      <c r="J296">
        <f t="shared" ca="1" si="38"/>
        <v>83.470206521446457</v>
      </c>
      <c r="K296">
        <f t="shared" ca="1" si="39"/>
        <v>47.389536605724437</v>
      </c>
    </row>
    <row r="297" spans="1:11" x14ac:dyDescent="0.3">
      <c r="A297" t="s">
        <v>21</v>
      </c>
      <c r="B297">
        <v>6</v>
      </c>
      <c r="C297">
        <v>371390</v>
      </c>
      <c r="D297">
        <v>371466</v>
      </c>
      <c r="E297">
        <v>371785</v>
      </c>
      <c r="F297">
        <v>371562</v>
      </c>
      <c r="G297">
        <f t="shared" ca="1" si="35"/>
        <v>371390</v>
      </c>
      <c r="H297">
        <f t="shared" ca="1" si="36"/>
        <v>0</v>
      </c>
      <c r="I297">
        <f t="shared" ca="1" si="37"/>
        <v>20.463663534290099</v>
      </c>
      <c r="J297">
        <f t="shared" ca="1" si="38"/>
        <v>106.35719863216563</v>
      </c>
      <c r="K297">
        <f t="shared" ca="1" si="39"/>
        <v>46.312501682867065</v>
      </c>
    </row>
    <row r="298" spans="1:11" x14ac:dyDescent="0.3">
      <c r="A298" t="s">
        <v>21</v>
      </c>
      <c r="B298">
        <v>7</v>
      </c>
      <c r="C298">
        <v>371472</v>
      </c>
      <c r="D298">
        <v>371422</v>
      </c>
      <c r="E298">
        <v>371629</v>
      </c>
      <c r="F298">
        <v>371509</v>
      </c>
      <c r="G298">
        <f t="shared" ca="1" si="35"/>
        <v>371390</v>
      </c>
      <c r="H298">
        <f t="shared" ca="1" si="36"/>
        <v>22.079215918576161</v>
      </c>
      <c r="I298">
        <f t="shared" ca="1" si="37"/>
        <v>8.6162793828589894</v>
      </c>
      <c r="J298">
        <f t="shared" ca="1" si="38"/>
        <v>64.352836640728071</v>
      </c>
      <c r="K298">
        <f t="shared" ca="1" si="39"/>
        <v>32.041788955006865</v>
      </c>
    </row>
    <row r="299" spans="1:11" x14ac:dyDescent="0.3">
      <c r="A299" t="s">
        <v>21</v>
      </c>
      <c r="B299">
        <v>8</v>
      </c>
      <c r="C299">
        <v>371459</v>
      </c>
      <c r="D299">
        <v>371432</v>
      </c>
      <c r="E299">
        <v>371751</v>
      </c>
      <c r="F299">
        <v>371571</v>
      </c>
      <c r="G299">
        <f t="shared" ca="1" si="35"/>
        <v>371390</v>
      </c>
      <c r="H299">
        <f t="shared" ca="1" si="36"/>
        <v>18.578852419289696</v>
      </c>
      <c r="I299">
        <f t="shared" ca="1" si="37"/>
        <v>11.308866690002422</v>
      </c>
      <c r="J299">
        <f t="shared" ca="1" si="38"/>
        <v>97.202401787877974</v>
      </c>
      <c r="K299">
        <f t="shared" ca="1" si="39"/>
        <v>48.735830259296158</v>
      </c>
    </row>
    <row r="300" spans="1:11" x14ac:dyDescent="0.3">
      <c r="A300" t="s">
        <v>21</v>
      </c>
      <c r="B300">
        <v>9</v>
      </c>
      <c r="C300">
        <v>371407</v>
      </c>
      <c r="D300">
        <v>371449</v>
      </c>
      <c r="E300">
        <v>371798</v>
      </c>
      <c r="F300">
        <v>371505</v>
      </c>
      <c r="G300">
        <f t="shared" ca="1" si="35"/>
        <v>371390</v>
      </c>
      <c r="H300">
        <f t="shared" ca="1" si="36"/>
        <v>4.5773984221438377</v>
      </c>
      <c r="I300">
        <f t="shared" ca="1" si="37"/>
        <v>15.886265112146262</v>
      </c>
      <c r="J300">
        <f t="shared" ca="1" si="38"/>
        <v>109.85756213145211</v>
      </c>
      <c r="K300">
        <f t="shared" ca="1" si="39"/>
        <v>30.964754032149493</v>
      </c>
    </row>
    <row r="301" spans="1:11" x14ac:dyDescent="0.3">
      <c r="A301" t="s">
        <v>21</v>
      </c>
      <c r="B301">
        <v>10</v>
      </c>
      <c r="C301">
        <v>371430</v>
      </c>
      <c r="D301">
        <v>371405</v>
      </c>
      <c r="E301">
        <v>371777</v>
      </c>
      <c r="F301">
        <v>371567</v>
      </c>
      <c r="G301">
        <f t="shared" ca="1" si="35"/>
        <v>371390</v>
      </c>
      <c r="H301">
        <f t="shared" ca="1" si="36"/>
        <v>10.770349228573737</v>
      </c>
      <c r="I301">
        <f t="shared" ca="1" si="37"/>
        <v>4.0388809607151508</v>
      </c>
      <c r="J301">
        <f t="shared" ca="1" si="38"/>
        <v>104.2031287864509</v>
      </c>
      <c r="K301">
        <f t="shared" ca="1" si="39"/>
        <v>47.658795336438786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Sheet5</vt:lpstr>
      <vt:lpstr>Sheet2</vt:lpstr>
      <vt:lpstr>Sheet6</vt:lpstr>
      <vt:lpstr>시간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창현 송</dc:creator>
  <cp:lastModifiedBy>창현 송</cp:lastModifiedBy>
  <dcterms:created xsi:type="dcterms:W3CDTF">2025-12-08T00:28:36Z</dcterms:created>
  <dcterms:modified xsi:type="dcterms:W3CDTF">2025-12-10T07:08:19Z</dcterms:modified>
</cp:coreProperties>
</file>